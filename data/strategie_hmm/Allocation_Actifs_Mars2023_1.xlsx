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oursecgf-my.sharepoint.com/personal/dndoudy_cgfgestion_com/Documents/Bureau/MES PROJETS AVEC CGF GESTION/LOOK UP/LOOK UP BRVM/data/strategie_hmm/"/>
    </mc:Choice>
  </mc:AlternateContent>
  <xr:revisionPtr revIDLastSave="5" documentId="11_2BC5AC631EC35405CABE1809FB34416237838C4F" xr6:coauthVersionLast="47" xr6:coauthVersionMax="47" xr10:uidLastSave="{2511420B-27F3-41BD-8EC0-9F9C1F4FB8CB}"/>
  <bookViews>
    <workbookView xWindow="-108" yWindow="-108" windowWidth="23256" windowHeight="12456" activeTab="1" xr2:uid="{00000000-000D-0000-FFFF-FFFF00000000}"/>
  </bookViews>
  <sheets>
    <sheet name="1 - Résumé FSDAA" sheetId="1" r:id="rId1"/>
    <sheet name="2 - Composition Buckets" sheetId="2" r:id="rId2"/>
    <sheet name="3 - Poids Globaux" sheetId="3" r:id="rId3"/>
    <sheet name="4 - Top Actifs" sheetId="4" r:id="rId4"/>
    <sheet name="5 - Heatmap Actif×Facteur" sheetId="5" r:id="rId5"/>
    <sheet name="6 - Portefeuille Long-Onl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4" i="6" l="1"/>
  <c r="D64" i="6"/>
  <c r="E36" i="6"/>
  <c r="D36" i="6"/>
  <c r="B52" i="3"/>
  <c r="A19" i="1"/>
</calcChain>
</file>

<file path=xl/sharedStrings.xml><?xml version="1.0" encoding="utf-8"?>
<sst xmlns="http://schemas.openxmlformats.org/spreadsheetml/2006/main" count="1682" uniqueCount="187">
  <si>
    <t>FSDAA — Processus d'allocation au 1er mars 2023  (Risk Parity)</t>
  </si>
  <si>
    <t>Stratégie : Risk Parity inter-facteurs | Univers : 46 actions BRVM | Top/Bottom 20% équipondéré</t>
  </si>
  <si>
    <t>Étape 2 — Allocations FSDAA entre sous-portefeuilles factoriels</t>
  </si>
  <si>
    <t>Facteur</t>
  </si>
  <si>
    <t>Allocation FSDAA (%)</t>
  </si>
  <si>
    <t>Famille</t>
  </si>
  <si>
    <t>Beta</t>
  </si>
  <si>
    <t>Risque</t>
  </si>
  <si>
    <t>Book-to-Market</t>
  </si>
  <si>
    <t>Valeur</t>
  </si>
  <si>
    <t>6M Momentum</t>
  </si>
  <si>
    <t>Momentum</t>
  </si>
  <si>
    <t>ROA</t>
  </si>
  <si>
    <t>Qualité</t>
  </si>
  <si>
    <t>Rdt Journalier</t>
  </si>
  <si>
    <t>Levier</t>
  </si>
  <si>
    <t>ROE</t>
  </si>
  <si>
    <t>Dividend Yield</t>
  </si>
  <si>
    <t>Croissance</t>
  </si>
  <si>
    <t>S/P</t>
  </si>
  <si>
    <t>Volume</t>
  </si>
  <si>
    <t>Liquidité</t>
  </si>
  <si>
    <t>Variance</t>
  </si>
  <si>
    <t>Volatilité</t>
  </si>
  <si>
    <t>Capitalisation</t>
  </si>
  <si>
    <t>Taille</t>
  </si>
  <si>
    <t>E/P</t>
  </si>
  <si>
    <t>Étape 1 — Construction des sous-portefeuilles (équipondération intra-bucket)</t>
  </si>
  <si>
    <t>Univers d'investissement</t>
  </si>
  <si>
    <t>46 actions cotées à la BRVM</t>
  </si>
  <si>
    <t>Fréquence de rebalancement</t>
  </si>
  <si>
    <t>Mensuelle (1er jour ouvré du mois)</t>
  </si>
  <si>
    <t>Critère de sélection</t>
  </si>
  <si>
    <t>Top 20% → Long | Bottom 20% → Short</t>
  </si>
  <si>
    <t>Nombre d'actifs par bucket</t>
  </si>
  <si>
    <t>~9 actifs (= floor(20% × 46))</t>
  </si>
  <si>
    <t>Pondération intra-bucket</t>
  </si>
  <si>
    <t>+1/9 ≈ +11,11% pour les longs | -1/9 ≈ -11,11% pour les shorts</t>
  </si>
  <si>
    <t>Sens du tri</t>
  </si>
  <si>
    <t>Décroissant sauf Variance, Beta, Levier (croissant)</t>
  </si>
  <si>
    <t>Date de référence</t>
  </si>
  <si>
    <t>1er mars 2023</t>
  </si>
  <si>
    <t>Étape 3 — Formule de calcul du poids effectif global d'un actif i</t>
  </si>
  <si>
    <t>w_i_global = Σ (α_f × w_i,f_intra)    pour f ∈ {1,...,13 facteurs}</t>
  </si>
  <si>
    <t>Où α_f = allocation FSDAA du facteur f  |  w_i,f_intra ∈ {+1/top_n, 0, -1/top_n}</t>
  </si>
  <si>
    <t>Composition des 13 sous-portefeuilles factoriels — 1er mars 2023</t>
  </si>
  <si>
    <t>Position</t>
  </si>
  <si>
    <t>Actif</t>
  </si>
  <si>
    <t>Poids Intra (%)</t>
  </si>
  <si>
    <t xml:space="preserve">  Book-to-Market   [Valeur]   — 9 actifs long | 9 actifs short | poids ±11.11%</t>
  </si>
  <si>
    <t>LONG ▲</t>
  </si>
  <si>
    <t>CIEC</t>
  </si>
  <si>
    <t>TTLS</t>
  </si>
  <si>
    <t>ONTBF</t>
  </si>
  <si>
    <t>SICC</t>
  </si>
  <si>
    <t>NTLC</t>
  </si>
  <si>
    <t>STBC</t>
  </si>
  <si>
    <t>STAC</t>
  </si>
  <si>
    <t>CFAC</t>
  </si>
  <si>
    <t>UNLC</t>
  </si>
  <si>
    <t>SHORT ▼</t>
  </si>
  <si>
    <t>ETIT</t>
  </si>
  <si>
    <t>SCRC</t>
  </si>
  <si>
    <t>BOAM</t>
  </si>
  <si>
    <t>BNBC</t>
  </si>
  <si>
    <t>NSBC</t>
  </si>
  <si>
    <t>FTSC</t>
  </si>
  <si>
    <t>UNXC</t>
  </si>
  <si>
    <t>SVOC</t>
  </si>
  <si>
    <t>BOAS</t>
  </si>
  <si>
    <t xml:space="preserve">  E/P   [Valeur]   — 9 actifs long | 9 actifs short | poids ±11.11%</t>
  </si>
  <si>
    <t>SLBC</t>
  </si>
  <si>
    <t>SAFC</t>
  </si>
  <si>
    <t>SNTS</t>
  </si>
  <si>
    <t>SIBC</t>
  </si>
  <si>
    <t>ORAC</t>
  </si>
  <si>
    <t>BOABF</t>
  </si>
  <si>
    <t>BOAC</t>
  </si>
  <si>
    <t>ECOC</t>
  </si>
  <si>
    <t>SDSC</t>
  </si>
  <si>
    <t xml:space="preserve">  S/P   [Valeur]   — 9 actifs long | 9 actifs short | poids ±11.11%</t>
  </si>
  <si>
    <t>SIVC</t>
  </si>
  <si>
    <t>ABJC</t>
  </si>
  <si>
    <t>BICC</t>
  </si>
  <si>
    <t>BOAN</t>
  </si>
  <si>
    <t>SHEC</t>
  </si>
  <si>
    <t>TTLC</t>
  </si>
  <si>
    <t xml:space="preserve">  Levier   [Qualité]   — 9 actifs long | 9 actifs short | poids ±11.11%</t>
  </si>
  <si>
    <t>SOGC</t>
  </si>
  <si>
    <t>NEIC</t>
  </si>
  <si>
    <t>PALC</t>
  </si>
  <si>
    <t>SPHC</t>
  </si>
  <si>
    <t>SDCC</t>
  </si>
  <si>
    <t>ORGT</t>
  </si>
  <si>
    <t xml:space="preserve">  ROE   [Qualité]   — 9 actifs long | 9 actifs short | poids ±11.11%</t>
  </si>
  <si>
    <t>SMBC</t>
  </si>
  <si>
    <t>SEMC</t>
  </si>
  <si>
    <t xml:space="preserve">  ROA   [Qualité]   — 9 actifs long | 9 actifs short | poids ±11.11%</t>
  </si>
  <si>
    <t xml:space="preserve">  Dividend Yield   [Croissance]   — 9 actifs long | 9 actifs short | poids ±11.11%</t>
  </si>
  <si>
    <t>LNBB</t>
  </si>
  <si>
    <t>BOAB</t>
  </si>
  <si>
    <t xml:space="preserve">  Variance   [Volatilité]   — 9 actifs long | 9 actifs short | poids ±11.11%</t>
  </si>
  <si>
    <t>CBIBF</t>
  </si>
  <si>
    <t>CABC</t>
  </si>
  <si>
    <t xml:space="preserve">  Rdt Journalier   [Momentum]   — 9 actifs long | 9 actifs short | poids ±11.11%</t>
  </si>
  <si>
    <t>SGBC</t>
  </si>
  <si>
    <t xml:space="preserve">  6M Momentum   [Momentum]   — 9 actifs long | 9 actifs short | poids ±11.11%</t>
  </si>
  <si>
    <t>PRSC</t>
  </si>
  <si>
    <t xml:space="preserve">  Volume   [Liquidité]   — 9 actifs long | 9 actifs short | poids ±11.11%</t>
  </si>
  <si>
    <t xml:space="preserve">  Beta   [Risque]   — 9 actifs long | 9 actifs short | poids ±11.11%</t>
  </si>
  <si>
    <t xml:space="preserve">  Capitalisation   [Taille]   — 9 actifs long | 9 actifs short | poids ±11.11%</t>
  </si>
  <si>
    <t>Poids effectifs globaux par actif — Décomposition par facteur — 1er mars 2023 (Risk Parity)</t>
  </si>
  <si>
    <t>Allocations FSDAA →  Beta: 16.0% | Book-to-Market: 13.1% | 6M Momentum: 9.7% | ROA: 9.6% | Rdt Journalier: 7.5% | Levier: 6.5% | ROE: 6.3% | Dividend Yield: 5.8% | S/P: 5.7% | Volume: 5.7% | Variance: 5.4% | Capitalisation: 4.5% | E/P: 4.0%</t>
  </si>
  <si>
    <t>Poids Global (%)</t>
  </si>
  <si>
    <t># Long</t>
  </si>
  <si>
    <t># Short</t>
  </si>
  <si>
    <t>α=13.1%</t>
  </si>
  <si>
    <t>α=4.0%</t>
  </si>
  <si>
    <t>α=5.7%</t>
  </si>
  <si>
    <t>α=6.5%</t>
  </si>
  <si>
    <t>α=6.3%</t>
  </si>
  <si>
    <t>α=9.6%</t>
  </si>
  <si>
    <t>α=5.8%</t>
  </si>
  <si>
    <t>α=5.4%</t>
  </si>
  <si>
    <t>α=7.5%</t>
  </si>
  <si>
    <t>α=9.7%</t>
  </si>
  <si>
    <t>α=16.0%</t>
  </si>
  <si>
    <t>α=4.5%</t>
  </si>
  <si>
    <t>TOTAL (vérif.)</t>
  </si>
  <si>
    <t>Top actifs — Poids effectifs au 1er mars 2023</t>
  </si>
  <si>
    <t>🟢  TOP 10 LONG — Actifs les plus surpondérés</t>
  </si>
  <si>
    <t>#</t>
  </si>
  <si>
    <t>Présences Long</t>
  </si>
  <si>
    <t># Facteurs</t>
  </si>
  <si>
    <t>████████████</t>
  </si>
  <si>
    <t>███████████</t>
  </si>
  <si>
    <t>█████████</t>
  </si>
  <si>
    <t>███████</t>
  </si>
  <si>
    <t>█████</t>
  </si>
  <si>
    <t>████</t>
  </si>
  <si>
    <t>███</t>
  </si>
  <si>
    <t>🔴  TOP 10 SHORT — Actifs les plus sous-pondérés</t>
  </si>
  <si>
    <t>████████</t>
  </si>
  <si>
    <t>██████</t>
  </si>
  <si>
    <t>Heatmap : Position de chaque actif dans chaque sous-portefeuille (LONG / SHORT / —)</t>
  </si>
  <si>
    <t>L</t>
  </si>
  <si>
    <t>—</t>
  </si>
  <si>
    <t>S</t>
  </si>
  <si>
    <t>Portefeuille Long-Only Investissable — 1er mars 2023  |  Risk Parity FSDAA</t>
  </si>
  <si>
    <t>Méthode : poids globaux long-short  →  extraction des poids positifs  →  renormalisation pour sommer à 100%   |   24 actifs   |   Long-only BRVM</t>
  </si>
  <si>
    <t>Transformation long-short → long-only  :  comment lire ce tableau</t>
  </si>
  <si>
    <t>Étape 1</t>
  </si>
  <si>
    <t>Poids global brut (long-short)</t>
  </si>
  <si>
    <t>Somme ≈ 0%  (longs et shorts s'annulent)</t>
  </si>
  <si>
    <t>Étape 2</t>
  </si>
  <si>
    <t>Filtrage</t>
  </si>
  <si>
    <t>On garde uniquement les actifs à poids positif  (+24 actifs)</t>
  </si>
  <si>
    <t>Étape 3</t>
  </si>
  <si>
    <t>Renormalisation</t>
  </si>
  <si>
    <t>w_i_LO = w_i_brut / Σ(w_positifs)   →   Somme = 100%</t>
  </si>
  <si>
    <t>Résultat</t>
  </si>
  <si>
    <t>Portefeuille achetable</t>
  </si>
  <si>
    <t>Chaque ligne = % du capital à investir dans cet actif</t>
  </si>
  <si>
    <t>Portefeuille Long-Only — 24 actifs à acheter</t>
  </si>
  <si>
    <t>Poids brut (%)</t>
  </si>
  <si>
    <t>Poids normalisé (%)</t>
  </si>
  <si>
    <t>Montant (sur 1 000 000 FCFA)</t>
  </si>
  <si>
    <t># Facteurs Long</t>
  </si>
  <si>
    <t>Interprétation</t>
  </si>
  <si>
    <t>Fort signal valeur + qualité + liquidité</t>
  </si>
  <si>
    <t>Valeur + momentum + faible risque</t>
  </si>
  <si>
    <t>Large exposition multi-facteurs</t>
  </si>
  <si>
    <t>Qualité + dividend yield + momentum</t>
  </si>
  <si>
    <t>Qualité + valeur + dividend yield</t>
  </si>
  <si>
    <t>Liquidité + qualité + faible risque</t>
  </si>
  <si>
    <t>Faible beta + momentum court terme</t>
  </si>
  <si>
    <t>Valeur + dividend yield + momentum</t>
  </si>
  <si>
    <t>Valeur + liquidité + dividend yield</t>
  </si>
  <si>
    <t>Faible beta + valeur</t>
  </si>
  <si>
    <t>Signal factoriel positif</t>
  </si>
  <si>
    <t>TOTAL</t>
  </si>
  <si>
    <t>Référence — Actifs en position Short (si mandat le permet : vente à découvert)</t>
  </si>
  <si>
    <t>Poids normalisé côté short (%)</t>
  </si>
  <si>
    <t>Montant à shorter (1 000 000 FCFA)</t>
  </si>
  <si>
    <t># Facteurs Short</t>
  </si>
  <si>
    <t>TOTAL SHORT</t>
  </si>
  <si>
    <t>NOTE IMPORTANTE — Différence entre poids brut et poids normalisé
Le poids brut est la contribution de l'actif dans le portefeuille long-short de recherche (somme ≈ 0%).
Le poids normalisé est le pourcentage réel de capital à allouer dans le portefeuille long-only investissable (somme = 100%).
Exemple : SICC a un poids brut de +6,09% et un poids normalisé de 13,55% → sur 1 000 000 FCFA, investir 135 500 FCFA dans SICC.
Les actifs en short sont fournis à titre indicatif. Ils ne sont applicables que si le mandat de gestion autorise la vente à découvert.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</si>
</sst>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&quot;%&quot;"/>
    <numFmt numFmtId="165" formatCode="0.0000&quot;%&quot;"/>
  </numFmts>
  <fonts count="34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1B4F72"/>
      <name val="Arial"/>
    </font>
    <font>
      <b/>
      <sz val="11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2E86C1"/>
      <name val="Arial"/>
    </font>
    <font>
      <i/>
      <sz val="10"/>
      <name val="Arial"/>
    </font>
    <font>
      <b/>
      <sz val="10"/>
      <name val="Arial"/>
    </font>
    <font>
      <b/>
      <sz val="12"/>
      <color rgb="FF1B4F72"/>
      <name val="Arial"/>
    </font>
    <font>
      <b/>
      <sz val="13"/>
      <color rgb="FFFFFFFF"/>
      <name val="Arial"/>
    </font>
    <font>
      <b/>
      <sz val="11"/>
      <color rgb="FF27AE60"/>
      <name val="Arial"/>
    </font>
    <font>
      <b/>
      <sz val="11"/>
      <color rgb="FFE74C3C"/>
      <name val="Arial"/>
    </font>
    <font>
      <i/>
      <sz val="9"/>
      <color rgb="FF1B4F72"/>
      <name val="Arial"/>
    </font>
    <font>
      <b/>
      <sz val="9"/>
      <color rgb="FFFFFFFF"/>
      <name val="Arial"/>
    </font>
    <font>
      <b/>
      <sz val="8"/>
      <color rgb="FFF39C12"/>
      <name val="Arial"/>
    </font>
    <font>
      <b/>
      <sz val="10"/>
      <color rgb="FF27AE60"/>
      <name val="Arial"/>
    </font>
    <font>
      <sz val="10"/>
      <color rgb="FF27AE60"/>
      <name val="Arial"/>
    </font>
    <font>
      <sz val="10"/>
      <color rgb="FFE74C3C"/>
      <name val="Arial"/>
    </font>
    <font>
      <sz val="9"/>
      <color rgb="FF27AE60"/>
      <name val="Arial"/>
    </font>
    <font>
      <sz val="9"/>
      <color rgb="FFE74C3C"/>
      <name val="Arial"/>
    </font>
    <font>
      <b/>
      <sz val="10"/>
      <color rgb="FFE74C3C"/>
      <name val="Arial"/>
    </font>
    <font>
      <b/>
      <sz val="11"/>
      <color rgb="FFFFFFFF"/>
      <name val="Arial"/>
    </font>
    <font>
      <b/>
      <sz val="12"/>
      <color rgb="FFFFFFFF"/>
      <name val="Arial"/>
    </font>
    <font>
      <b/>
      <sz val="11"/>
      <color rgb="FF27AE60"/>
      <name val="Arial"/>
    </font>
    <font>
      <b/>
      <sz val="11"/>
      <color rgb="FFE74C3C"/>
      <name val="Arial"/>
    </font>
    <font>
      <b/>
      <sz val="8"/>
      <color rgb="FFFFFFFF"/>
      <name val="Arial"/>
    </font>
    <font>
      <b/>
      <sz val="9"/>
      <name val="Arial"/>
    </font>
    <font>
      <b/>
      <sz val="9"/>
      <color rgb="FFAAAAAA"/>
      <name val="Arial"/>
    </font>
    <font>
      <i/>
      <sz val="9"/>
      <color rgb="FFFFFFFF"/>
      <name val="Arial"/>
    </font>
    <font>
      <b/>
      <sz val="10"/>
      <color rgb="FF085041"/>
      <name val="Arial"/>
    </font>
    <font>
      <sz val="10"/>
      <color rgb="FF1B4F72"/>
      <name val="Arial"/>
    </font>
    <font>
      <i/>
      <sz val="9"/>
      <name val="Arial"/>
    </font>
    <font>
      <b/>
      <sz val="10"/>
      <color rgb="FF711B13"/>
      <name val="Arial"/>
    </font>
  </fonts>
  <fills count="19">
    <fill>
      <patternFill patternType="none"/>
    </fill>
    <fill>
      <patternFill patternType="gray125"/>
    </fill>
    <fill>
      <patternFill patternType="solid">
        <fgColor rgb="FF0D1B2A"/>
      </patternFill>
    </fill>
    <fill>
      <patternFill patternType="solid">
        <fgColor rgb="FFD6EAF8"/>
      </patternFill>
    </fill>
    <fill>
      <patternFill patternType="solid">
        <fgColor rgb="FF1B4F72"/>
      </patternFill>
    </fill>
    <fill>
      <patternFill patternType="solid">
        <fgColor rgb="FF2E86C1"/>
      </patternFill>
    </fill>
    <fill>
      <patternFill patternType="solid">
        <fgColor rgb="FFF2F3F4"/>
      </patternFill>
    </fill>
    <fill>
      <patternFill patternType="solid">
        <fgColor rgb="FF2980B9"/>
      </patternFill>
    </fill>
    <fill>
      <patternFill patternType="solid">
        <fgColor rgb="FFD5F5E3"/>
      </patternFill>
    </fill>
    <fill>
      <patternFill patternType="solid">
        <fgColor rgb="FFFADBD8"/>
      </patternFill>
    </fill>
    <fill>
      <patternFill patternType="solid">
        <fgColor rgb="FF27AE60"/>
      </patternFill>
    </fill>
    <fill>
      <patternFill patternType="solid">
        <fgColor rgb="FFF39C12"/>
      </patternFill>
    </fill>
    <fill>
      <patternFill patternType="solid">
        <fgColor rgb="FFE74C3C"/>
      </patternFill>
    </fill>
    <fill>
      <patternFill patternType="solid">
        <fgColor rgb="FF8E44AD"/>
      </patternFill>
    </fill>
    <fill>
      <patternFill patternType="solid">
        <fgColor rgb="FF16A085"/>
      </patternFill>
    </fill>
    <fill>
      <patternFill patternType="solid">
        <fgColor rgb="FF7F8C8D"/>
      </patternFill>
    </fill>
    <fill>
      <patternFill patternType="solid">
        <fgColor rgb="FF2C3E50"/>
      </patternFill>
    </fill>
    <fill>
      <patternFill patternType="solid">
        <fgColor rgb="FFEAFAF1"/>
      </patternFill>
    </fill>
    <fill>
      <patternFill patternType="solid">
        <fgColor rgb="FFF9EBEA"/>
      </patternFill>
    </fill>
  </fills>
  <borders count="3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4" fillId="5" borderId="1" xfId="0" applyFont="1" applyFill="1" applyBorder="1" applyAlignment="1">
      <alignment horizontal="center" vertical="center"/>
    </xf>
    <xf numFmtId="0" fontId="5" fillId="6" borderId="1" xfId="0" applyFont="1" applyFill="1" applyBorder="1"/>
    <xf numFmtId="164" fontId="6" fillId="6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0" fontId="5" fillId="0" borderId="1" xfId="0" applyFont="1" applyBorder="1"/>
    <xf numFmtId="164" fontId="6" fillId="0" borderId="1" xfId="0" applyNumberFormat="1" applyFont="1" applyBorder="1" applyAlignment="1">
      <alignment horizontal="center"/>
    </xf>
    <xf numFmtId="0" fontId="7" fillId="0" borderId="1" xfId="0" applyFont="1" applyBorder="1"/>
    <xf numFmtId="0" fontId="8" fillId="3" borderId="1" xfId="0" applyFont="1" applyFill="1" applyBorder="1"/>
    <xf numFmtId="0" fontId="0" fillId="8" borderId="1" xfId="0" applyFill="1" applyBorder="1" applyAlignment="1">
      <alignment horizontal="left"/>
    </xf>
    <xf numFmtId="0" fontId="11" fillId="8" borderId="1" xfId="0" applyFont="1" applyFill="1" applyBorder="1" applyAlignment="1">
      <alignment horizontal="center"/>
    </xf>
    <xf numFmtId="165" fontId="11" fillId="8" borderId="1" xfId="0" applyNumberFormat="1" applyFont="1" applyFill="1" applyBorder="1" applyAlignment="1">
      <alignment horizontal="center"/>
    </xf>
    <xf numFmtId="0" fontId="0" fillId="9" borderId="1" xfId="0" applyFill="1" applyBorder="1" applyAlignment="1">
      <alignment horizontal="left"/>
    </xf>
    <xf numFmtId="0" fontId="12" fillId="9" borderId="1" xfId="0" applyFont="1" applyFill="1" applyBorder="1" applyAlignment="1">
      <alignment horizontal="center"/>
    </xf>
    <xf numFmtId="165" fontId="12" fillId="9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15" fillId="2" borderId="1" xfId="0" applyFont="1" applyFill="1" applyBorder="1" applyAlignment="1">
      <alignment horizontal="center"/>
    </xf>
    <xf numFmtId="0" fontId="8" fillId="8" borderId="1" xfId="0" applyFont="1" applyFill="1" applyBorder="1"/>
    <xf numFmtId="165" fontId="16" fillId="8" borderId="1" xfId="0" applyNumberFormat="1" applyFont="1" applyFill="1" applyBorder="1" applyAlignment="1">
      <alignment horizontal="center"/>
    </xf>
    <xf numFmtId="0" fontId="17" fillId="8" borderId="1" xfId="0" applyFont="1" applyFill="1" applyBorder="1" applyAlignment="1">
      <alignment horizontal="center"/>
    </xf>
    <xf numFmtId="0" fontId="18" fillId="8" borderId="1" xfId="0" applyFont="1" applyFill="1" applyBorder="1" applyAlignment="1">
      <alignment horizontal="center"/>
    </xf>
    <xf numFmtId="165" fontId="19" fillId="8" borderId="1" xfId="0" applyNumberFormat="1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165" fontId="20" fillId="8" borderId="1" xfId="0" applyNumberFormat="1" applyFont="1" applyFill="1" applyBorder="1" applyAlignment="1">
      <alignment horizontal="center"/>
    </xf>
    <xf numFmtId="0" fontId="8" fillId="9" borderId="1" xfId="0" applyFont="1" applyFill="1" applyBorder="1"/>
    <xf numFmtId="165" fontId="21" fillId="9" borderId="1" xfId="0" applyNumberFormat="1" applyFont="1" applyFill="1" applyBorder="1" applyAlignment="1">
      <alignment horizontal="center"/>
    </xf>
    <xf numFmtId="0" fontId="17" fillId="9" borderId="1" xfId="0" applyFont="1" applyFill="1" applyBorder="1" applyAlignment="1">
      <alignment horizontal="center"/>
    </xf>
    <xf numFmtId="0" fontId="18" fillId="9" borderId="1" xfId="0" applyFon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165" fontId="19" fillId="9" borderId="1" xfId="0" applyNumberFormat="1" applyFont="1" applyFill="1" applyBorder="1" applyAlignment="1">
      <alignment horizontal="center"/>
    </xf>
    <xf numFmtId="165" fontId="20" fillId="9" borderId="1" xfId="0" applyNumberFormat="1" applyFont="1" applyFill="1" applyBorder="1" applyAlignment="1">
      <alignment horizontal="center"/>
    </xf>
    <xf numFmtId="165" fontId="22" fillId="2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/>
    </xf>
    <xf numFmtId="165" fontId="24" fillId="8" borderId="1" xfId="0" applyNumberFormat="1" applyFont="1" applyFill="1" applyBorder="1" applyAlignment="1">
      <alignment horizontal="center"/>
    </xf>
    <xf numFmtId="0" fontId="19" fillId="8" borderId="1" xfId="0" applyFont="1" applyFill="1" applyBorder="1"/>
    <xf numFmtId="0" fontId="0" fillId="17" borderId="1" xfId="0" applyFill="1" applyBorder="1" applyAlignment="1">
      <alignment horizontal="center"/>
    </xf>
    <xf numFmtId="0" fontId="8" fillId="17" borderId="1" xfId="0" applyFont="1" applyFill="1" applyBorder="1"/>
    <xf numFmtId="165" fontId="24" fillId="17" borderId="1" xfId="0" applyNumberFormat="1" applyFont="1" applyFill="1" applyBorder="1" applyAlignment="1">
      <alignment horizontal="center"/>
    </xf>
    <xf numFmtId="0" fontId="19" fillId="17" borderId="1" xfId="0" applyFont="1" applyFill="1" applyBorder="1"/>
    <xf numFmtId="165" fontId="25" fillId="9" borderId="1" xfId="0" applyNumberFormat="1" applyFont="1" applyFill="1" applyBorder="1" applyAlignment="1">
      <alignment horizontal="center"/>
    </xf>
    <xf numFmtId="0" fontId="20" fillId="9" borderId="1" xfId="0" applyFont="1" applyFill="1" applyBorder="1"/>
    <xf numFmtId="0" fontId="0" fillId="18" borderId="1" xfId="0" applyFill="1" applyBorder="1" applyAlignment="1">
      <alignment horizontal="center"/>
    </xf>
    <xf numFmtId="0" fontId="8" fillId="18" borderId="1" xfId="0" applyFont="1" applyFill="1" applyBorder="1"/>
    <xf numFmtId="165" fontId="25" fillId="18" borderId="1" xfId="0" applyNumberFormat="1" applyFont="1" applyFill="1" applyBorder="1" applyAlignment="1">
      <alignment horizontal="center"/>
    </xf>
    <xf numFmtId="0" fontId="20" fillId="18" borderId="1" xfId="0" applyFont="1" applyFill="1" applyBorder="1"/>
    <xf numFmtId="0" fontId="26" fillId="4" borderId="1" xfId="0" applyFont="1" applyFill="1" applyBorder="1" applyAlignment="1">
      <alignment horizontal="center" vertical="center" wrapText="1"/>
    </xf>
    <xf numFmtId="0" fontId="27" fillId="8" borderId="1" xfId="0" applyFont="1" applyFill="1" applyBorder="1" applyAlignment="1">
      <alignment horizontal="center" vertical="center"/>
    </xf>
    <xf numFmtId="0" fontId="14" fillId="10" borderId="1" xfId="0" applyFont="1" applyFill="1" applyBorder="1" applyAlignment="1">
      <alignment horizontal="center" vertical="center"/>
    </xf>
    <xf numFmtId="0" fontId="28" fillId="6" borderId="1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horizontal="center" vertical="center"/>
    </xf>
    <xf numFmtId="0" fontId="27" fillId="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30" fillId="8" borderId="1" xfId="0" applyFont="1" applyFill="1" applyBorder="1"/>
    <xf numFmtId="165" fontId="5" fillId="8" borderId="1" xfId="0" applyNumberFormat="1" applyFont="1" applyFill="1" applyBorder="1" applyAlignment="1">
      <alignment horizontal="center" vertical="center"/>
    </xf>
    <xf numFmtId="164" fontId="24" fillId="8" borderId="1" xfId="0" applyNumberFormat="1" applyFont="1" applyFill="1" applyBorder="1" applyAlignment="1">
      <alignment horizontal="center" vertical="center"/>
    </xf>
    <xf numFmtId="3" fontId="31" fillId="8" borderId="1" xfId="0" applyNumberFormat="1" applyFont="1" applyFill="1" applyBorder="1" applyAlignment="1">
      <alignment horizontal="center" vertical="center"/>
    </xf>
    <xf numFmtId="0" fontId="32" fillId="8" borderId="1" xfId="0" applyFont="1" applyFill="1" applyBorder="1"/>
    <xf numFmtId="0" fontId="5" fillId="17" borderId="1" xfId="0" applyFont="1" applyFill="1" applyBorder="1" applyAlignment="1">
      <alignment horizontal="center" vertical="center"/>
    </xf>
    <xf numFmtId="0" fontId="30" fillId="17" borderId="1" xfId="0" applyFont="1" applyFill="1" applyBorder="1"/>
    <xf numFmtId="165" fontId="5" fillId="17" borderId="1" xfId="0" applyNumberFormat="1" applyFont="1" applyFill="1" applyBorder="1" applyAlignment="1">
      <alignment horizontal="center" vertical="center"/>
    </xf>
    <xf numFmtId="164" fontId="24" fillId="17" borderId="1" xfId="0" applyNumberFormat="1" applyFont="1" applyFill="1" applyBorder="1" applyAlignment="1">
      <alignment horizontal="center" vertical="center"/>
    </xf>
    <xf numFmtId="3" fontId="31" fillId="17" borderId="1" xfId="0" applyNumberFormat="1" applyFont="1" applyFill="1" applyBorder="1" applyAlignment="1">
      <alignment horizontal="center" vertical="center"/>
    </xf>
    <xf numFmtId="0" fontId="32" fillId="17" borderId="1" xfId="0" applyFont="1" applyFill="1" applyBorder="1"/>
    <xf numFmtId="164" fontId="3" fillId="2" borderId="1" xfId="0" applyNumberFormat="1" applyFont="1" applyFill="1" applyBorder="1" applyAlignment="1">
      <alignment horizontal="center" vertical="center"/>
    </xf>
    <xf numFmtId="3" fontId="22" fillId="2" borderId="1" xfId="0" applyNumberFormat="1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3" fillId="9" borderId="1" xfId="0" applyFont="1" applyFill="1" applyBorder="1"/>
    <xf numFmtId="165" fontId="5" fillId="9" borderId="1" xfId="0" applyNumberFormat="1" applyFont="1" applyFill="1" applyBorder="1" applyAlignment="1">
      <alignment horizontal="center" vertical="center"/>
    </xf>
    <xf numFmtId="164" fontId="25" fillId="9" borderId="1" xfId="0" applyNumberFormat="1" applyFont="1" applyFill="1" applyBorder="1" applyAlignment="1">
      <alignment horizontal="center" vertical="center"/>
    </xf>
    <xf numFmtId="3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0" fillId="18" borderId="1" xfId="0" applyFill="1" applyBorder="1" applyAlignment="1">
      <alignment horizontal="center" vertical="center"/>
    </xf>
    <xf numFmtId="0" fontId="33" fillId="18" borderId="1" xfId="0" applyFont="1" applyFill="1" applyBorder="1"/>
    <xf numFmtId="165" fontId="5" fillId="18" borderId="1" xfId="0" applyNumberFormat="1" applyFont="1" applyFill="1" applyBorder="1" applyAlignment="1">
      <alignment horizontal="center" vertical="center"/>
    </xf>
    <xf numFmtId="164" fontId="25" fillId="18" borderId="1" xfId="0" applyNumberFormat="1" applyFont="1" applyFill="1" applyBorder="1" applyAlignment="1">
      <alignment horizontal="center" vertical="center"/>
    </xf>
    <xf numFmtId="3" fontId="5" fillId="18" borderId="1" xfId="0" applyNumberFormat="1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0" fillId="18" borderId="1" xfId="0" applyFill="1" applyBorder="1"/>
    <xf numFmtId="164" fontId="22" fillId="2" borderId="1" xfId="0" applyNumberFormat="1" applyFont="1" applyFill="1" applyBorder="1" applyAlignment="1">
      <alignment horizontal="center" vertical="center"/>
    </xf>
    <xf numFmtId="0" fontId="5" fillId="0" borderId="1" xfId="0" applyFont="1" applyBorder="1"/>
    <xf numFmtId="0" fontId="0" fillId="0" borderId="2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/>
    </xf>
    <xf numFmtId="164" fontId="4" fillId="2" borderId="0" xfId="0" applyNumberFormat="1" applyFont="1" applyFill="1" applyAlignment="1">
      <alignment horizontal="center"/>
    </xf>
    <xf numFmtId="0" fontId="9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0" fontId="4" fillId="7" borderId="0" xfId="0" applyFont="1" applyFill="1" applyAlignment="1">
      <alignment horizontal="left" vertical="center"/>
    </xf>
    <xf numFmtId="0" fontId="4" fillId="12" borderId="0" xfId="0" applyFont="1" applyFill="1" applyAlignment="1">
      <alignment horizontal="left" vertical="center"/>
    </xf>
    <xf numFmtId="0" fontId="4" fillId="13" borderId="0" xfId="0" applyFont="1" applyFill="1" applyAlignment="1">
      <alignment horizontal="left" vertical="center"/>
    </xf>
    <xf numFmtId="0" fontId="4" fillId="15" borderId="0" xfId="0" applyFont="1" applyFill="1" applyAlignment="1">
      <alignment horizontal="left" vertical="center"/>
    </xf>
    <xf numFmtId="0" fontId="4" fillId="16" borderId="0" xfId="0" applyFont="1" applyFill="1" applyAlignment="1">
      <alignment horizontal="left" vertical="center"/>
    </xf>
    <xf numFmtId="0" fontId="4" fillId="11" borderId="0" xfId="0" applyFont="1" applyFill="1" applyAlignment="1">
      <alignment horizontal="left" vertical="center"/>
    </xf>
    <xf numFmtId="0" fontId="4" fillId="14" borderId="0" xfId="0" applyFont="1" applyFill="1" applyAlignment="1">
      <alignment horizontal="left" vertical="center"/>
    </xf>
    <xf numFmtId="0" fontId="13" fillId="3" borderId="0" xfId="0" applyFont="1" applyFill="1" applyAlignment="1">
      <alignment horizontal="left" vertical="center"/>
    </xf>
    <xf numFmtId="0" fontId="4" fillId="2" borderId="1" xfId="0" applyFont="1" applyFill="1" applyBorder="1"/>
    <xf numFmtId="0" fontId="23" fillId="10" borderId="0" xfId="0" applyFont="1" applyFill="1" applyAlignment="1">
      <alignment horizontal="center" vertical="center"/>
    </xf>
    <xf numFmtId="0" fontId="23" fillId="12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top" wrapText="1"/>
    </xf>
    <xf numFmtId="0" fontId="14" fillId="5" borderId="1" xfId="0" applyFont="1" applyFill="1" applyBorder="1" applyAlignment="1">
      <alignment horizontal="left" vertical="center"/>
    </xf>
    <xf numFmtId="0" fontId="14" fillId="2" borderId="1" xfId="0" applyFont="1" applyFill="1" applyBorder="1" applyAlignment="1">
      <alignment horizontal="left" vertical="center"/>
    </xf>
    <xf numFmtId="0" fontId="29" fillId="4" borderId="1" xfId="0" applyFont="1" applyFill="1" applyBorder="1" applyAlignment="1">
      <alignment horizontal="left" vertical="center"/>
    </xf>
    <xf numFmtId="0" fontId="29" fillId="10" borderId="1" xfId="0" applyFont="1" applyFill="1" applyBorder="1" applyAlignment="1">
      <alignment horizontal="left" vertical="center"/>
    </xf>
    <xf numFmtId="0" fontId="29" fillId="5" borderId="1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left" vertical="center"/>
    </xf>
    <xf numFmtId="0" fontId="14" fillId="1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showGridLines="0" workbookViewId="0">
      <selection sqref="A1:C1"/>
    </sheetView>
  </sheetViews>
  <sheetFormatPr baseColWidth="10" defaultColWidth="8.88671875" defaultRowHeight="14.4" x14ac:dyDescent="0.3"/>
  <cols>
    <col min="1" max="1" width="28" customWidth="1"/>
    <col min="2" max="2" width="18" customWidth="1"/>
    <col min="3" max="3" width="50" customWidth="1"/>
  </cols>
  <sheetData>
    <row r="1" spans="1:3" ht="40.049999999999997" customHeight="1" x14ac:dyDescent="0.3">
      <c r="A1" s="87" t="s">
        <v>0</v>
      </c>
      <c r="B1" s="88"/>
      <c r="C1" s="88"/>
    </row>
    <row r="2" spans="1:3" x14ac:dyDescent="0.3">
      <c r="A2" s="93" t="s">
        <v>1</v>
      </c>
      <c r="B2" s="88"/>
      <c r="C2" s="88"/>
    </row>
    <row r="4" spans="1:3" x14ac:dyDescent="0.3">
      <c r="A4" s="92" t="s">
        <v>2</v>
      </c>
      <c r="B4" s="88"/>
      <c r="C4" s="88"/>
    </row>
    <row r="5" spans="1:3" x14ac:dyDescent="0.3">
      <c r="A5" s="1" t="s">
        <v>3</v>
      </c>
      <c r="B5" s="1" t="s">
        <v>4</v>
      </c>
      <c r="C5" s="1" t="s">
        <v>5</v>
      </c>
    </row>
    <row r="6" spans="1:3" x14ac:dyDescent="0.3">
      <c r="A6" s="2" t="s">
        <v>6</v>
      </c>
      <c r="B6" s="3">
        <v>16.05</v>
      </c>
      <c r="C6" s="4" t="s">
        <v>7</v>
      </c>
    </row>
    <row r="7" spans="1:3" x14ac:dyDescent="0.3">
      <c r="A7" s="5" t="s">
        <v>8</v>
      </c>
      <c r="B7" s="6">
        <v>13.11</v>
      </c>
      <c r="C7" s="7" t="s">
        <v>9</v>
      </c>
    </row>
    <row r="8" spans="1:3" x14ac:dyDescent="0.3">
      <c r="A8" s="2" t="s">
        <v>10</v>
      </c>
      <c r="B8" s="3">
        <v>9.6999999999999993</v>
      </c>
      <c r="C8" s="4" t="s">
        <v>11</v>
      </c>
    </row>
    <row r="9" spans="1:3" x14ac:dyDescent="0.3">
      <c r="A9" s="5" t="s">
        <v>12</v>
      </c>
      <c r="B9" s="6">
        <v>9.6</v>
      </c>
      <c r="C9" s="7" t="s">
        <v>13</v>
      </c>
    </row>
    <row r="10" spans="1:3" x14ac:dyDescent="0.3">
      <c r="A10" s="2" t="s">
        <v>14</v>
      </c>
      <c r="B10" s="3">
        <v>7.52</v>
      </c>
      <c r="C10" s="4" t="s">
        <v>11</v>
      </c>
    </row>
    <row r="11" spans="1:3" x14ac:dyDescent="0.3">
      <c r="A11" s="5" t="s">
        <v>15</v>
      </c>
      <c r="B11" s="6">
        <v>6.51</v>
      </c>
      <c r="C11" s="7" t="s">
        <v>13</v>
      </c>
    </row>
    <row r="12" spans="1:3" x14ac:dyDescent="0.3">
      <c r="A12" s="2" t="s">
        <v>16</v>
      </c>
      <c r="B12" s="3">
        <v>6.3</v>
      </c>
      <c r="C12" s="4" t="s">
        <v>13</v>
      </c>
    </row>
    <row r="13" spans="1:3" x14ac:dyDescent="0.3">
      <c r="A13" s="5" t="s">
        <v>17</v>
      </c>
      <c r="B13" s="6">
        <v>5.82</v>
      </c>
      <c r="C13" s="7" t="s">
        <v>18</v>
      </c>
    </row>
    <row r="14" spans="1:3" x14ac:dyDescent="0.3">
      <c r="A14" s="2" t="s">
        <v>19</v>
      </c>
      <c r="B14" s="3">
        <v>5.74</v>
      </c>
      <c r="C14" s="4" t="s">
        <v>9</v>
      </c>
    </row>
    <row r="15" spans="1:3" x14ac:dyDescent="0.3">
      <c r="A15" s="5" t="s">
        <v>20</v>
      </c>
      <c r="B15" s="6">
        <v>5.68</v>
      </c>
      <c r="C15" s="7" t="s">
        <v>21</v>
      </c>
    </row>
    <row r="16" spans="1:3" x14ac:dyDescent="0.3">
      <c r="A16" s="2" t="s">
        <v>22</v>
      </c>
      <c r="B16" s="3">
        <v>5.44</v>
      </c>
      <c r="C16" s="4" t="s">
        <v>23</v>
      </c>
    </row>
    <row r="17" spans="1:3" x14ac:dyDescent="0.3">
      <c r="A17" s="5" t="s">
        <v>24</v>
      </c>
      <c r="B17" s="6">
        <v>4.53</v>
      </c>
      <c r="C17" s="7" t="s">
        <v>25</v>
      </c>
    </row>
    <row r="18" spans="1:3" x14ac:dyDescent="0.3">
      <c r="A18" s="2" t="s">
        <v>26</v>
      </c>
      <c r="B18" s="3">
        <v>4.01</v>
      </c>
      <c r="C18" s="4" t="s">
        <v>9</v>
      </c>
    </row>
    <row r="19" spans="1:3" x14ac:dyDescent="0.3">
      <c r="A19" s="90">
        <f>SUM(B6:B18)</f>
        <v>100.01</v>
      </c>
      <c r="B19" s="88"/>
    </row>
    <row r="21" spans="1:3" x14ac:dyDescent="0.3">
      <c r="A21" s="92" t="s">
        <v>27</v>
      </c>
      <c r="B21" s="88"/>
      <c r="C21" s="88"/>
    </row>
    <row r="22" spans="1:3" x14ac:dyDescent="0.3">
      <c r="A22" s="8" t="s">
        <v>28</v>
      </c>
      <c r="B22" s="85" t="s">
        <v>29</v>
      </c>
      <c r="C22" s="86"/>
    </row>
    <row r="23" spans="1:3" x14ac:dyDescent="0.3">
      <c r="A23" s="8" t="s">
        <v>30</v>
      </c>
      <c r="B23" s="85" t="s">
        <v>31</v>
      </c>
      <c r="C23" s="86"/>
    </row>
    <row r="24" spans="1:3" x14ac:dyDescent="0.3">
      <c r="A24" s="8" t="s">
        <v>32</v>
      </c>
      <c r="B24" s="85" t="s">
        <v>33</v>
      </c>
      <c r="C24" s="86"/>
    </row>
    <row r="25" spans="1:3" x14ac:dyDescent="0.3">
      <c r="A25" s="8" t="s">
        <v>34</v>
      </c>
      <c r="B25" s="85" t="s">
        <v>35</v>
      </c>
      <c r="C25" s="86"/>
    </row>
    <row r="26" spans="1:3" x14ac:dyDescent="0.3">
      <c r="A26" s="8" t="s">
        <v>36</v>
      </c>
      <c r="B26" s="85" t="s">
        <v>37</v>
      </c>
      <c r="C26" s="86"/>
    </row>
    <row r="27" spans="1:3" x14ac:dyDescent="0.3">
      <c r="A27" s="8" t="s">
        <v>38</v>
      </c>
      <c r="B27" s="85" t="s">
        <v>39</v>
      </c>
      <c r="C27" s="86"/>
    </row>
    <row r="28" spans="1:3" x14ac:dyDescent="0.3">
      <c r="A28" s="8" t="s">
        <v>40</v>
      </c>
      <c r="B28" s="85" t="s">
        <v>41</v>
      </c>
      <c r="C28" s="86"/>
    </row>
    <row r="30" spans="1:3" x14ac:dyDescent="0.3">
      <c r="A30" s="92" t="s">
        <v>42</v>
      </c>
      <c r="B30" s="88"/>
      <c r="C30" s="88"/>
    </row>
    <row r="31" spans="1:3" ht="24" customHeight="1" x14ac:dyDescent="0.3">
      <c r="A31" s="91" t="s">
        <v>43</v>
      </c>
      <c r="B31" s="88"/>
      <c r="C31" s="88"/>
    </row>
    <row r="32" spans="1:3" x14ac:dyDescent="0.3">
      <c r="A32" s="89" t="s">
        <v>44</v>
      </c>
      <c r="B32" s="88"/>
      <c r="C32" s="88"/>
    </row>
  </sheetData>
  <mergeCells count="15">
    <mergeCell ref="B24:C24"/>
    <mergeCell ref="A1:C1"/>
    <mergeCell ref="B25:C25"/>
    <mergeCell ref="A32:C32"/>
    <mergeCell ref="A19:B19"/>
    <mergeCell ref="A31:C31"/>
    <mergeCell ref="B28:C28"/>
    <mergeCell ref="B23:C23"/>
    <mergeCell ref="B22:C22"/>
    <mergeCell ref="A21:C21"/>
    <mergeCell ref="A30:C30"/>
    <mergeCell ref="B26:C26"/>
    <mergeCell ref="B27:C27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61"/>
  <sheetViews>
    <sheetView showGridLines="0" tabSelected="1" workbookViewId="0">
      <selection sqref="A1:D1"/>
    </sheetView>
  </sheetViews>
  <sheetFormatPr baseColWidth="10" defaultColWidth="8.88671875" defaultRowHeight="14.4" x14ac:dyDescent="0.3"/>
  <cols>
    <col min="1" max="1" width="31.33203125" customWidth="1"/>
    <col min="2" max="2" width="17.33203125" customWidth="1"/>
    <col min="3" max="3" width="18.88671875" customWidth="1"/>
    <col min="4" max="4" width="23.88671875" customWidth="1"/>
  </cols>
  <sheetData>
    <row r="1" spans="1:4" ht="34.950000000000003" customHeight="1" x14ac:dyDescent="0.3">
      <c r="A1" s="94" t="s">
        <v>45</v>
      </c>
      <c r="B1" s="88"/>
      <c r="C1" s="88"/>
      <c r="D1" s="88"/>
    </row>
    <row r="2" spans="1:4" x14ac:dyDescent="0.3">
      <c r="A2" s="1" t="s">
        <v>3</v>
      </c>
      <c r="B2" s="1" t="s">
        <v>46</v>
      </c>
      <c r="C2" s="1" t="s">
        <v>47</v>
      </c>
      <c r="D2" s="1" t="s">
        <v>48</v>
      </c>
    </row>
    <row r="3" spans="1:4" ht="18" customHeight="1" x14ac:dyDescent="0.3">
      <c r="A3" s="96" t="s">
        <v>49</v>
      </c>
      <c r="B3" s="88"/>
      <c r="C3" s="88"/>
      <c r="D3" s="88"/>
    </row>
    <row r="4" spans="1:4" x14ac:dyDescent="0.3">
      <c r="A4" s="9" t="s">
        <v>8</v>
      </c>
      <c r="B4" s="10" t="s">
        <v>50</v>
      </c>
      <c r="C4" s="9" t="s">
        <v>51</v>
      </c>
      <c r="D4" s="11">
        <v>11.1111</v>
      </c>
    </row>
    <row r="5" spans="1:4" x14ac:dyDescent="0.3">
      <c r="A5" s="9" t="s">
        <v>8</v>
      </c>
      <c r="B5" s="10" t="s">
        <v>50</v>
      </c>
      <c r="C5" s="9" t="s">
        <v>52</v>
      </c>
      <c r="D5" s="11">
        <v>11.1111</v>
      </c>
    </row>
    <row r="6" spans="1:4" x14ac:dyDescent="0.3">
      <c r="A6" s="9" t="s">
        <v>8</v>
      </c>
      <c r="B6" s="10" t="s">
        <v>50</v>
      </c>
      <c r="C6" s="9" t="s">
        <v>53</v>
      </c>
      <c r="D6" s="11">
        <v>11.1111</v>
      </c>
    </row>
    <row r="7" spans="1:4" x14ac:dyDescent="0.3">
      <c r="A7" s="9" t="s">
        <v>8</v>
      </c>
      <c r="B7" s="10" t="s">
        <v>50</v>
      </c>
      <c r="C7" s="9" t="s">
        <v>54</v>
      </c>
      <c r="D7" s="11">
        <v>11.1111</v>
      </c>
    </row>
    <row r="8" spans="1:4" x14ac:dyDescent="0.3">
      <c r="A8" s="9" t="s">
        <v>8</v>
      </c>
      <c r="B8" s="10" t="s">
        <v>50</v>
      </c>
      <c r="C8" s="9" t="s">
        <v>55</v>
      </c>
      <c r="D8" s="11">
        <v>11.1111</v>
      </c>
    </row>
    <row r="9" spans="1:4" x14ac:dyDescent="0.3">
      <c r="A9" s="9" t="s">
        <v>8</v>
      </c>
      <c r="B9" s="10" t="s">
        <v>50</v>
      </c>
      <c r="C9" s="9" t="s">
        <v>56</v>
      </c>
      <c r="D9" s="11">
        <v>11.1111</v>
      </c>
    </row>
    <row r="10" spans="1:4" x14ac:dyDescent="0.3">
      <c r="A10" s="9" t="s">
        <v>8</v>
      </c>
      <c r="B10" s="10" t="s">
        <v>50</v>
      </c>
      <c r="C10" s="9" t="s">
        <v>57</v>
      </c>
      <c r="D10" s="11">
        <v>11.1111</v>
      </c>
    </row>
    <row r="11" spans="1:4" x14ac:dyDescent="0.3">
      <c r="A11" s="9" t="s">
        <v>8</v>
      </c>
      <c r="B11" s="10" t="s">
        <v>50</v>
      </c>
      <c r="C11" s="9" t="s">
        <v>58</v>
      </c>
      <c r="D11" s="11">
        <v>11.1111</v>
      </c>
    </row>
    <row r="12" spans="1:4" x14ac:dyDescent="0.3">
      <c r="A12" s="9" t="s">
        <v>8</v>
      </c>
      <c r="B12" s="10" t="s">
        <v>50</v>
      </c>
      <c r="C12" s="9" t="s">
        <v>59</v>
      </c>
      <c r="D12" s="11">
        <v>11.1111</v>
      </c>
    </row>
    <row r="13" spans="1:4" x14ac:dyDescent="0.3">
      <c r="A13" s="12" t="s">
        <v>8</v>
      </c>
      <c r="B13" s="13" t="s">
        <v>60</v>
      </c>
      <c r="C13" s="12" t="s">
        <v>61</v>
      </c>
      <c r="D13" s="14">
        <v>-11.1111</v>
      </c>
    </row>
    <row r="14" spans="1:4" x14ac:dyDescent="0.3">
      <c r="A14" s="12" t="s">
        <v>8</v>
      </c>
      <c r="B14" s="13" t="s">
        <v>60</v>
      </c>
      <c r="C14" s="12" t="s">
        <v>62</v>
      </c>
      <c r="D14" s="14">
        <v>-11.1111</v>
      </c>
    </row>
    <row r="15" spans="1:4" x14ac:dyDescent="0.3">
      <c r="A15" s="12" t="s">
        <v>8</v>
      </c>
      <c r="B15" s="13" t="s">
        <v>60</v>
      </c>
      <c r="C15" s="12" t="s">
        <v>63</v>
      </c>
      <c r="D15" s="14">
        <v>-11.1111</v>
      </c>
    </row>
    <row r="16" spans="1:4" x14ac:dyDescent="0.3">
      <c r="A16" s="12" t="s">
        <v>8</v>
      </c>
      <c r="B16" s="13" t="s">
        <v>60</v>
      </c>
      <c r="C16" s="12" t="s">
        <v>64</v>
      </c>
      <c r="D16" s="14">
        <v>-11.1111</v>
      </c>
    </row>
    <row r="17" spans="1:4" x14ac:dyDescent="0.3">
      <c r="A17" s="12" t="s">
        <v>8</v>
      </c>
      <c r="B17" s="13" t="s">
        <v>60</v>
      </c>
      <c r="C17" s="12" t="s">
        <v>65</v>
      </c>
      <c r="D17" s="14">
        <v>-11.1111</v>
      </c>
    </row>
    <row r="18" spans="1:4" x14ac:dyDescent="0.3">
      <c r="A18" s="12" t="s">
        <v>8</v>
      </c>
      <c r="B18" s="13" t="s">
        <v>60</v>
      </c>
      <c r="C18" s="12" t="s">
        <v>66</v>
      </c>
      <c r="D18" s="14">
        <v>-11.1111</v>
      </c>
    </row>
    <row r="19" spans="1:4" x14ac:dyDescent="0.3">
      <c r="A19" s="12" t="s">
        <v>8</v>
      </c>
      <c r="B19" s="13" t="s">
        <v>60</v>
      </c>
      <c r="C19" s="12" t="s">
        <v>67</v>
      </c>
      <c r="D19" s="14">
        <v>-11.1111</v>
      </c>
    </row>
    <row r="20" spans="1:4" x14ac:dyDescent="0.3">
      <c r="A20" s="12" t="s">
        <v>8</v>
      </c>
      <c r="B20" s="13" t="s">
        <v>60</v>
      </c>
      <c r="C20" s="12" t="s">
        <v>68</v>
      </c>
      <c r="D20" s="14">
        <v>-11.1111</v>
      </c>
    </row>
    <row r="21" spans="1:4" x14ac:dyDescent="0.3">
      <c r="A21" s="12" t="s">
        <v>8</v>
      </c>
      <c r="B21" s="13" t="s">
        <v>60</v>
      </c>
      <c r="C21" s="12" t="s">
        <v>69</v>
      </c>
      <c r="D21" s="14">
        <v>-11.1111</v>
      </c>
    </row>
    <row r="23" spans="1:4" ht="18" customHeight="1" x14ac:dyDescent="0.3">
      <c r="A23" s="96" t="s">
        <v>70</v>
      </c>
      <c r="B23" s="88"/>
      <c r="C23" s="88"/>
      <c r="D23" s="88"/>
    </row>
    <row r="24" spans="1:4" x14ac:dyDescent="0.3">
      <c r="A24" s="9" t="s">
        <v>26</v>
      </c>
      <c r="B24" s="10" t="s">
        <v>50</v>
      </c>
      <c r="C24" s="9" t="s">
        <v>68</v>
      </c>
      <c r="D24" s="11">
        <v>11.1111</v>
      </c>
    </row>
    <row r="25" spans="1:4" x14ac:dyDescent="0.3">
      <c r="A25" s="9" t="s">
        <v>26</v>
      </c>
      <c r="B25" s="10" t="s">
        <v>50</v>
      </c>
      <c r="C25" s="9" t="s">
        <v>71</v>
      </c>
      <c r="D25" s="11">
        <v>11.1111</v>
      </c>
    </row>
    <row r="26" spans="1:4" x14ac:dyDescent="0.3">
      <c r="A26" s="9" t="s">
        <v>26</v>
      </c>
      <c r="B26" s="10" t="s">
        <v>50</v>
      </c>
      <c r="C26" s="9" t="s">
        <v>66</v>
      </c>
      <c r="D26" s="11">
        <v>11.1111</v>
      </c>
    </row>
    <row r="27" spans="1:4" x14ac:dyDescent="0.3">
      <c r="A27" s="9" t="s">
        <v>26</v>
      </c>
      <c r="B27" s="10" t="s">
        <v>50</v>
      </c>
      <c r="C27" s="9" t="s">
        <v>54</v>
      </c>
      <c r="D27" s="11">
        <v>11.1111</v>
      </c>
    </row>
    <row r="28" spans="1:4" x14ac:dyDescent="0.3">
      <c r="A28" s="9" t="s">
        <v>26</v>
      </c>
      <c r="B28" s="10" t="s">
        <v>50</v>
      </c>
      <c r="C28" s="9" t="s">
        <v>57</v>
      </c>
      <c r="D28" s="11">
        <v>11.1111</v>
      </c>
    </row>
    <row r="29" spans="1:4" x14ac:dyDescent="0.3">
      <c r="A29" s="9" t="s">
        <v>26</v>
      </c>
      <c r="B29" s="10" t="s">
        <v>50</v>
      </c>
      <c r="C29" s="9" t="s">
        <v>72</v>
      </c>
      <c r="D29" s="11">
        <v>11.1111</v>
      </c>
    </row>
    <row r="30" spans="1:4" x14ac:dyDescent="0.3">
      <c r="A30" s="9" t="s">
        <v>26</v>
      </c>
      <c r="B30" s="10" t="s">
        <v>50</v>
      </c>
      <c r="C30" s="9" t="s">
        <v>59</v>
      </c>
      <c r="D30" s="11">
        <v>11.1111</v>
      </c>
    </row>
    <row r="31" spans="1:4" x14ac:dyDescent="0.3">
      <c r="A31" s="9" t="s">
        <v>26</v>
      </c>
      <c r="B31" s="10" t="s">
        <v>50</v>
      </c>
      <c r="C31" s="9" t="s">
        <v>67</v>
      </c>
      <c r="D31" s="11">
        <v>11.1111</v>
      </c>
    </row>
    <row r="32" spans="1:4" x14ac:dyDescent="0.3">
      <c r="A32" s="9" t="s">
        <v>26</v>
      </c>
      <c r="B32" s="10" t="s">
        <v>50</v>
      </c>
      <c r="C32" s="9" t="s">
        <v>62</v>
      </c>
      <c r="D32" s="11">
        <v>11.1111</v>
      </c>
    </row>
    <row r="33" spans="1:4" x14ac:dyDescent="0.3">
      <c r="A33" s="12" t="s">
        <v>26</v>
      </c>
      <c r="B33" s="13" t="s">
        <v>60</v>
      </c>
      <c r="C33" s="12" t="s">
        <v>61</v>
      </c>
      <c r="D33" s="14">
        <v>-11.1111</v>
      </c>
    </row>
    <row r="34" spans="1:4" x14ac:dyDescent="0.3">
      <c r="A34" s="12" t="s">
        <v>26</v>
      </c>
      <c r="B34" s="13" t="s">
        <v>60</v>
      </c>
      <c r="C34" s="12" t="s">
        <v>73</v>
      </c>
      <c r="D34" s="14">
        <v>-11.1111</v>
      </c>
    </row>
    <row r="35" spans="1:4" x14ac:dyDescent="0.3">
      <c r="A35" s="12" t="s">
        <v>26</v>
      </c>
      <c r="B35" s="13" t="s">
        <v>60</v>
      </c>
      <c r="C35" s="12" t="s">
        <v>74</v>
      </c>
      <c r="D35" s="14">
        <v>-11.1111</v>
      </c>
    </row>
    <row r="36" spans="1:4" x14ac:dyDescent="0.3">
      <c r="A36" s="12" t="s">
        <v>26</v>
      </c>
      <c r="B36" s="13" t="s">
        <v>60</v>
      </c>
      <c r="C36" s="12" t="s">
        <v>75</v>
      </c>
      <c r="D36" s="14">
        <v>-11.1111</v>
      </c>
    </row>
    <row r="37" spans="1:4" x14ac:dyDescent="0.3">
      <c r="A37" s="12" t="s">
        <v>26</v>
      </c>
      <c r="B37" s="13" t="s">
        <v>60</v>
      </c>
      <c r="C37" s="12" t="s">
        <v>76</v>
      </c>
      <c r="D37" s="14">
        <v>-11.1111</v>
      </c>
    </row>
    <row r="38" spans="1:4" x14ac:dyDescent="0.3">
      <c r="A38" s="12" t="s">
        <v>26</v>
      </c>
      <c r="B38" s="13" t="s">
        <v>60</v>
      </c>
      <c r="C38" s="12" t="s">
        <v>77</v>
      </c>
      <c r="D38" s="14">
        <v>-11.1111</v>
      </c>
    </row>
    <row r="39" spans="1:4" x14ac:dyDescent="0.3">
      <c r="A39" s="12" t="s">
        <v>26</v>
      </c>
      <c r="B39" s="13" t="s">
        <v>60</v>
      </c>
      <c r="C39" s="12" t="s">
        <v>69</v>
      </c>
      <c r="D39" s="14">
        <v>-11.1111</v>
      </c>
    </row>
    <row r="40" spans="1:4" x14ac:dyDescent="0.3">
      <c r="A40" s="12" t="s">
        <v>26</v>
      </c>
      <c r="B40" s="13" t="s">
        <v>60</v>
      </c>
      <c r="C40" s="12" t="s">
        <v>78</v>
      </c>
      <c r="D40" s="14">
        <v>-11.1111</v>
      </c>
    </row>
    <row r="41" spans="1:4" x14ac:dyDescent="0.3">
      <c r="A41" s="12" t="s">
        <v>26</v>
      </c>
      <c r="B41" s="13" t="s">
        <v>60</v>
      </c>
      <c r="C41" s="12" t="s">
        <v>79</v>
      </c>
      <c r="D41" s="14">
        <v>-11.1111</v>
      </c>
    </row>
    <row r="43" spans="1:4" ht="18" customHeight="1" x14ac:dyDescent="0.3">
      <c r="A43" s="96" t="s">
        <v>80</v>
      </c>
      <c r="B43" s="88"/>
      <c r="C43" s="88"/>
      <c r="D43" s="88"/>
    </row>
    <row r="44" spans="1:4" x14ac:dyDescent="0.3">
      <c r="A44" s="9" t="s">
        <v>19</v>
      </c>
      <c r="B44" s="10" t="s">
        <v>50</v>
      </c>
      <c r="C44" s="9" t="s">
        <v>57</v>
      </c>
      <c r="D44" s="11">
        <v>11.1111</v>
      </c>
    </row>
    <row r="45" spans="1:4" x14ac:dyDescent="0.3">
      <c r="A45" s="9" t="s">
        <v>19</v>
      </c>
      <c r="B45" s="10" t="s">
        <v>50</v>
      </c>
      <c r="C45" s="9" t="s">
        <v>81</v>
      </c>
      <c r="D45" s="11">
        <v>11.1111</v>
      </c>
    </row>
    <row r="46" spans="1:4" x14ac:dyDescent="0.3">
      <c r="A46" s="9" t="s">
        <v>19</v>
      </c>
      <c r="B46" s="10" t="s">
        <v>50</v>
      </c>
      <c r="C46" s="9" t="s">
        <v>82</v>
      </c>
      <c r="D46" s="11">
        <v>11.1111</v>
      </c>
    </row>
    <row r="47" spans="1:4" x14ac:dyDescent="0.3">
      <c r="A47" s="9" t="s">
        <v>19</v>
      </c>
      <c r="B47" s="10" t="s">
        <v>50</v>
      </c>
      <c r="C47" s="9" t="s">
        <v>83</v>
      </c>
      <c r="D47" s="11">
        <v>11.1111</v>
      </c>
    </row>
    <row r="48" spans="1:4" x14ac:dyDescent="0.3">
      <c r="A48" s="9" t="s">
        <v>19</v>
      </c>
      <c r="B48" s="10" t="s">
        <v>50</v>
      </c>
      <c r="C48" s="9" t="s">
        <v>84</v>
      </c>
      <c r="D48" s="11">
        <v>11.1111</v>
      </c>
    </row>
    <row r="49" spans="1:4" x14ac:dyDescent="0.3">
      <c r="A49" s="9" t="s">
        <v>19</v>
      </c>
      <c r="B49" s="10" t="s">
        <v>50</v>
      </c>
      <c r="C49" s="9" t="s">
        <v>59</v>
      </c>
      <c r="D49" s="11">
        <v>11.1111</v>
      </c>
    </row>
    <row r="50" spans="1:4" x14ac:dyDescent="0.3">
      <c r="A50" s="9" t="s">
        <v>19</v>
      </c>
      <c r="B50" s="10" t="s">
        <v>50</v>
      </c>
      <c r="C50" s="9" t="s">
        <v>68</v>
      </c>
      <c r="D50" s="11">
        <v>11.1111</v>
      </c>
    </row>
    <row r="51" spans="1:4" x14ac:dyDescent="0.3">
      <c r="A51" s="9" t="s">
        <v>19</v>
      </c>
      <c r="B51" s="10" t="s">
        <v>50</v>
      </c>
      <c r="C51" s="9" t="s">
        <v>72</v>
      </c>
      <c r="D51" s="11">
        <v>11.1111</v>
      </c>
    </row>
    <row r="52" spans="1:4" x14ac:dyDescent="0.3">
      <c r="A52" s="9" t="s">
        <v>19</v>
      </c>
      <c r="B52" s="10" t="s">
        <v>50</v>
      </c>
      <c r="C52" s="9" t="s">
        <v>54</v>
      </c>
      <c r="D52" s="11">
        <v>11.1111</v>
      </c>
    </row>
    <row r="53" spans="1:4" x14ac:dyDescent="0.3">
      <c r="A53" s="12" t="s">
        <v>19</v>
      </c>
      <c r="B53" s="13" t="s">
        <v>60</v>
      </c>
      <c r="C53" s="12" t="s">
        <v>61</v>
      </c>
      <c r="D53" s="14">
        <v>-11.1111</v>
      </c>
    </row>
    <row r="54" spans="1:4" x14ac:dyDescent="0.3">
      <c r="A54" s="12" t="s">
        <v>19</v>
      </c>
      <c r="B54" s="13" t="s">
        <v>60</v>
      </c>
      <c r="C54" s="12" t="s">
        <v>85</v>
      </c>
      <c r="D54" s="14">
        <v>-11.1111</v>
      </c>
    </row>
    <row r="55" spans="1:4" x14ac:dyDescent="0.3">
      <c r="A55" s="12" t="s">
        <v>19</v>
      </c>
      <c r="B55" s="13" t="s">
        <v>60</v>
      </c>
      <c r="C55" s="12" t="s">
        <v>86</v>
      </c>
      <c r="D55" s="14">
        <v>-11.1111</v>
      </c>
    </row>
    <row r="56" spans="1:4" x14ac:dyDescent="0.3">
      <c r="A56" s="12" t="s">
        <v>19</v>
      </c>
      <c r="B56" s="13" t="s">
        <v>60</v>
      </c>
      <c r="C56" s="12" t="s">
        <v>52</v>
      </c>
      <c r="D56" s="14">
        <v>-11.1111</v>
      </c>
    </row>
    <row r="57" spans="1:4" x14ac:dyDescent="0.3">
      <c r="A57" s="12" t="s">
        <v>19</v>
      </c>
      <c r="B57" s="13" t="s">
        <v>60</v>
      </c>
      <c r="C57" s="12" t="s">
        <v>58</v>
      </c>
      <c r="D57" s="14">
        <v>-11.1111</v>
      </c>
    </row>
    <row r="58" spans="1:4" x14ac:dyDescent="0.3">
      <c r="A58" s="12" t="s">
        <v>19</v>
      </c>
      <c r="B58" s="13" t="s">
        <v>60</v>
      </c>
      <c r="C58" s="12" t="s">
        <v>51</v>
      </c>
      <c r="D58" s="14">
        <v>-11.1111</v>
      </c>
    </row>
    <row r="59" spans="1:4" x14ac:dyDescent="0.3">
      <c r="A59" s="12" t="s">
        <v>19</v>
      </c>
      <c r="B59" s="13" t="s">
        <v>60</v>
      </c>
      <c r="C59" s="12" t="s">
        <v>73</v>
      </c>
      <c r="D59" s="14">
        <v>-11.1111</v>
      </c>
    </row>
    <row r="60" spans="1:4" x14ac:dyDescent="0.3">
      <c r="A60" s="12" t="s">
        <v>19</v>
      </c>
      <c r="B60" s="13" t="s">
        <v>60</v>
      </c>
      <c r="C60" s="12" t="s">
        <v>75</v>
      </c>
      <c r="D60" s="14">
        <v>-11.1111</v>
      </c>
    </row>
    <row r="61" spans="1:4" x14ac:dyDescent="0.3">
      <c r="A61" s="12" t="s">
        <v>19</v>
      </c>
      <c r="B61" s="13" t="s">
        <v>60</v>
      </c>
      <c r="C61" s="12" t="s">
        <v>62</v>
      </c>
      <c r="D61" s="14">
        <v>-11.1111</v>
      </c>
    </row>
    <row r="63" spans="1:4" ht="18" customHeight="1" x14ac:dyDescent="0.3">
      <c r="A63" s="95" t="s">
        <v>87</v>
      </c>
      <c r="B63" s="88"/>
      <c r="C63" s="88"/>
      <c r="D63" s="88"/>
    </row>
    <row r="64" spans="1:4" x14ac:dyDescent="0.3">
      <c r="A64" s="9" t="s">
        <v>15</v>
      </c>
      <c r="B64" s="10" t="s">
        <v>50</v>
      </c>
      <c r="C64" s="9" t="s">
        <v>59</v>
      </c>
      <c r="D64" s="11">
        <v>11.1111</v>
      </c>
    </row>
    <row r="65" spans="1:4" x14ac:dyDescent="0.3">
      <c r="A65" s="9" t="s">
        <v>15</v>
      </c>
      <c r="B65" s="10" t="s">
        <v>50</v>
      </c>
      <c r="C65" s="9" t="s">
        <v>56</v>
      </c>
      <c r="D65" s="11">
        <v>11.1111</v>
      </c>
    </row>
    <row r="66" spans="1:4" x14ac:dyDescent="0.3">
      <c r="A66" s="9" t="s">
        <v>15</v>
      </c>
      <c r="B66" s="10" t="s">
        <v>50</v>
      </c>
      <c r="C66" s="9" t="s">
        <v>88</v>
      </c>
      <c r="D66" s="11">
        <v>11.1111</v>
      </c>
    </row>
    <row r="67" spans="1:4" x14ac:dyDescent="0.3">
      <c r="A67" s="9" t="s">
        <v>15</v>
      </c>
      <c r="B67" s="10" t="s">
        <v>50</v>
      </c>
      <c r="C67" s="9" t="s">
        <v>89</v>
      </c>
      <c r="D67" s="11">
        <v>11.1111</v>
      </c>
    </row>
    <row r="68" spans="1:4" x14ac:dyDescent="0.3">
      <c r="A68" s="9" t="s">
        <v>15</v>
      </c>
      <c r="B68" s="10" t="s">
        <v>50</v>
      </c>
      <c r="C68" s="9" t="s">
        <v>90</v>
      </c>
      <c r="D68" s="11">
        <v>11.1111</v>
      </c>
    </row>
    <row r="69" spans="1:4" x14ac:dyDescent="0.3">
      <c r="A69" s="9" t="s">
        <v>15</v>
      </c>
      <c r="B69" s="10" t="s">
        <v>50</v>
      </c>
      <c r="C69" s="9" t="s">
        <v>91</v>
      </c>
      <c r="D69" s="11">
        <v>11.1111</v>
      </c>
    </row>
    <row r="70" spans="1:4" x14ac:dyDescent="0.3">
      <c r="A70" s="9" t="s">
        <v>15</v>
      </c>
      <c r="B70" s="10" t="s">
        <v>50</v>
      </c>
      <c r="C70" s="9" t="s">
        <v>67</v>
      </c>
      <c r="D70" s="11">
        <v>11.1111</v>
      </c>
    </row>
    <row r="71" spans="1:4" x14ac:dyDescent="0.3">
      <c r="A71" s="9" t="s">
        <v>15</v>
      </c>
      <c r="B71" s="10" t="s">
        <v>50</v>
      </c>
      <c r="C71" s="9" t="s">
        <v>82</v>
      </c>
      <c r="D71" s="11">
        <v>11.1111</v>
      </c>
    </row>
    <row r="72" spans="1:4" x14ac:dyDescent="0.3">
      <c r="A72" s="9" t="s">
        <v>15</v>
      </c>
      <c r="B72" s="10" t="s">
        <v>50</v>
      </c>
      <c r="C72" s="9" t="s">
        <v>66</v>
      </c>
      <c r="D72" s="11">
        <v>11.1111</v>
      </c>
    </row>
    <row r="73" spans="1:4" x14ac:dyDescent="0.3">
      <c r="A73" s="12" t="s">
        <v>15</v>
      </c>
      <c r="B73" s="13" t="s">
        <v>60</v>
      </c>
      <c r="C73" s="12" t="s">
        <v>72</v>
      </c>
      <c r="D73" s="14">
        <v>-11.1111</v>
      </c>
    </row>
    <row r="74" spans="1:4" x14ac:dyDescent="0.3">
      <c r="A74" s="12" t="s">
        <v>15</v>
      </c>
      <c r="B74" s="13" t="s">
        <v>60</v>
      </c>
      <c r="C74" s="12" t="s">
        <v>65</v>
      </c>
      <c r="D74" s="14">
        <v>-11.1111</v>
      </c>
    </row>
    <row r="75" spans="1:4" x14ac:dyDescent="0.3">
      <c r="A75" s="12" t="s">
        <v>15</v>
      </c>
      <c r="B75" s="13" t="s">
        <v>60</v>
      </c>
      <c r="C75" s="12" t="s">
        <v>78</v>
      </c>
      <c r="D75" s="14">
        <v>-11.1111</v>
      </c>
    </row>
    <row r="76" spans="1:4" x14ac:dyDescent="0.3">
      <c r="A76" s="12" t="s">
        <v>15</v>
      </c>
      <c r="B76" s="13" t="s">
        <v>60</v>
      </c>
      <c r="C76" s="12" t="s">
        <v>83</v>
      </c>
      <c r="D76" s="14">
        <v>-11.1111</v>
      </c>
    </row>
    <row r="77" spans="1:4" x14ac:dyDescent="0.3">
      <c r="A77" s="12" t="s">
        <v>15</v>
      </c>
      <c r="B77" s="13" t="s">
        <v>60</v>
      </c>
      <c r="C77" s="12" t="s">
        <v>61</v>
      </c>
      <c r="D77" s="14">
        <v>-11.1111</v>
      </c>
    </row>
    <row r="78" spans="1:4" x14ac:dyDescent="0.3">
      <c r="A78" s="12" t="s">
        <v>15</v>
      </c>
      <c r="B78" s="13" t="s">
        <v>60</v>
      </c>
      <c r="C78" s="12" t="s">
        <v>63</v>
      </c>
      <c r="D78" s="14">
        <v>-11.1111</v>
      </c>
    </row>
    <row r="79" spans="1:4" x14ac:dyDescent="0.3">
      <c r="A79" s="12" t="s">
        <v>15</v>
      </c>
      <c r="B79" s="13" t="s">
        <v>60</v>
      </c>
      <c r="C79" s="12" t="s">
        <v>92</v>
      </c>
      <c r="D79" s="14">
        <v>-11.1111</v>
      </c>
    </row>
    <row r="80" spans="1:4" x14ac:dyDescent="0.3">
      <c r="A80" s="12" t="s">
        <v>15</v>
      </c>
      <c r="B80" s="13" t="s">
        <v>60</v>
      </c>
      <c r="C80" s="12" t="s">
        <v>93</v>
      </c>
      <c r="D80" s="14">
        <v>-11.1111</v>
      </c>
    </row>
    <row r="81" spans="1:4" x14ac:dyDescent="0.3">
      <c r="A81" s="12" t="s">
        <v>15</v>
      </c>
      <c r="B81" s="13" t="s">
        <v>60</v>
      </c>
      <c r="C81" s="12" t="s">
        <v>51</v>
      </c>
      <c r="D81" s="14">
        <v>-11.1111</v>
      </c>
    </row>
    <row r="83" spans="1:4" ht="18" customHeight="1" x14ac:dyDescent="0.3">
      <c r="A83" s="95" t="s">
        <v>94</v>
      </c>
      <c r="B83" s="88"/>
      <c r="C83" s="88"/>
      <c r="D83" s="88"/>
    </row>
    <row r="84" spans="1:4" x14ac:dyDescent="0.3">
      <c r="A84" s="9" t="s">
        <v>16</v>
      </c>
      <c r="B84" s="10" t="s">
        <v>50</v>
      </c>
      <c r="C84" s="9" t="s">
        <v>64</v>
      </c>
      <c r="D84" s="11">
        <v>11.1111</v>
      </c>
    </row>
    <row r="85" spans="1:4" x14ac:dyDescent="0.3">
      <c r="A85" s="9" t="s">
        <v>16</v>
      </c>
      <c r="B85" s="10" t="s">
        <v>50</v>
      </c>
      <c r="C85" s="9" t="s">
        <v>63</v>
      </c>
      <c r="D85" s="11">
        <v>11.1111</v>
      </c>
    </row>
    <row r="86" spans="1:4" x14ac:dyDescent="0.3">
      <c r="A86" s="9" t="s">
        <v>16</v>
      </c>
      <c r="B86" s="10" t="s">
        <v>50</v>
      </c>
      <c r="C86" s="9" t="s">
        <v>71</v>
      </c>
      <c r="D86" s="11">
        <v>11.1111</v>
      </c>
    </row>
    <row r="87" spans="1:4" x14ac:dyDescent="0.3">
      <c r="A87" s="9" t="s">
        <v>16</v>
      </c>
      <c r="B87" s="10" t="s">
        <v>50</v>
      </c>
      <c r="C87" s="9" t="s">
        <v>66</v>
      </c>
      <c r="D87" s="11">
        <v>11.1111</v>
      </c>
    </row>
    <row r="88" spans="1:4" x14ac:dyDescent="0.3">
      <c r="A88" s="9" t="s">
        <v>16</v>
      </c>
      <c r="B88" s="10" t="s">
        <v>50</v>
      </c>
      <c r="C88" s="9" t="s">
        <v>57</v>
      </c>
      <c r="D88" s="11">
        <v>11.1111</v>
      </c>
    </row>
    <row r="89" spans="1:4" x14ac:dyDescent="0.3">
      <c r="A89" s="9" t="s">
        <v>16</v>
      </c>
      <c r="B89" s="10" t="s">
        <v>50</v>
      </c>
      <c r="C89" s="9" t="s">
        <v>72</v>
      </c>
      <c r="D89" s="11">
        <v>11.1111</v>
      </c>
    </row>
    <row r="90" spans="1:4" x14ac:dyDescent="0.3">
      <c r="A90" s="9" t="s">
        <v>16</v>
      </c>
      <c r="B90" s="10" t="s">
        <v>50</v>
      </c>
      <c r="C90" s="9" t="s">
        <v>54</v>
      </c>
      <c r="D90" s="11">
        <v>11.1111</v>
      </c>
    </row>
    <row r="91" spans="1:4" x14ac:dyDescent="0.3">
      <c r="A91" s="9" t="s">
        <v>16</v>
      </c>
      <c r="B91" s="10" t="s">
        <v>50</v>
      </c>
      <c r="C91" s="9" t="s">
        <v>67</v>
      </c>
      <c r="D91" s="11">
        <v>11.1111</v>
      </c>
    </row>
    <row r="92" spans="1:4" x14ac:dyDescent="0.3">
      <c r="A92" s="9" t="s">
        <v>16</v>
      </c>
      <c r="B92" s="10" t="s">
        <v>50</v>
      </c>
      <c r="C92" s="9" t="s">
        <v>62</v>
      </c>
      <c r="D92" s="11">
        <v>11.1111</v>
      </c>
    </row>
    <row r="93" spans="1:4" x14ac:dyDescent="0.3">
      <c r="A93" s="12" t="s">
        <v>16</v>
      </c>
      <c r="B93" s="13" t="s">
        <v>60</v>
      </c>
      <c r="C93" s="12" t="s">
        <v>56</v>
      </c>
      <c r="D93" s="14">
        <v>-11.1111</v>
      </c>
    </row>
    <row r="94" spans="1:4" x14ac:dyDescent="0.3">
      <c r="A94" s="12" t="s">
        <v>16</v>
      </c>
      <c r="B94" s="13" t="s">
        <v>60</v>
      </c>
      <c r="C94" s="12" t="s">
        <v>55</v>
      </c>
      <c r="D94" s="14">
        <v>-11.1111</v>
      </c>
    </row>
    <row r="95" spans="1:4" x14ac:dyDescent="0.3">
      <c r="A95" s="12" t="s">
        <v>16</v>
      </c>
      <c r="B95" s="13" t="s">
        <v>60</v>
      </c>
      <c r="C95" s="12" t="s">
        <v>59</v>
      </c>
      <c r="D95" s="14">
        <v>-11.1111</v>
      </c>
    </row>
    <row r="96" spans="1:4" x14ac:dyDescent="0.3">
      <c r="A96" s="12" t="s">
        <v>16</v>
      </c>
      <c r="B96" s="13" t="s">
        <v>60</v>
      </c>
      <c r="C96" s="12" t="s">
        <v>95</v>
      </c>
      <c r="D96" s="14">
        <v>-11.1111</v>
      </c>
    </row>
    <row r="97" spans="1:4" x14ac:dyDescent="0.3">
      <c r="A97" s="12" t="s">
        <v>16</v>
      </c>
      <c r="B97" s="13" t="s">
        <v>60</v>
      </c>
      <c r="C97" s="12" t="s">
        <v>53</v>
      </c>
      <c r="D97" s="14">
        <v>-11.1111</v>
      </c>
    </row>
    <row r="98" spans="1:4" x14ac:dyDescent="0.3">
      <c r="A98" s="12" t="s">
        <v>16</v>
      </c>
      <c r="B98" s="13" t="s">
        <v>60</v>
      </c>
      <c r="C98" s="12" t="s">
        <v>58</v>
      </c>
      <c r="D98" s="14">
        <v>-11.1111</v>
      </c>
    </row>
    <row r="99" spans="1:4" x14ac:dyDescent="0.3">
      <c r="A99" s="12" t="s">
        <v>16</v>
      </c>
      <c r="B99" s="13" t="s">
        <v>60</v>
      </c>
      <c r="C99" s="12" t="s">
        <v>96</v>
      </c>
      <c r="D99" s="14">
        <v>-11.1111</v>
      </c>
    </row>
    <row r="100" spans="1:4" x14ac:dyDescent="0.3">
      <c r="A100" s="12" t="s">
        <v>16</v>
      </c>
      <c r="B100" s="13" t="s">
        <v>60</v>
      </c>
      <c r="C100" s="12" t="s">
        <v>90</v>
      </c>
      <c r="D100" s="14">
        <v>-11.1111</v>
      </c>
    </row>
    <row r="101" spans="1:4" x14ac:dyDescent="0.3">
      <c r="A101" s="12" t="s">
        <v>16</v>
      </c>
      <c r="B101" s="13" t="s">
        <v>60</v>
      </c>
      <c r="C101" s="12" t="s">
        <v>52</v>
      </c>
      <c r="D101" s="14">
        <v>-11.1111</v>
      </c>
    </row>
    <row r="103" spans="1:4" ht="18" customHeight="1" x14ac:dyDescent="0.3">
      <c r="A103" s="95" t="s">
        <v>97</v>
      </c>
      <c r="B103" s="88"/>
      <c r="C103" s="88"/>
      <c r="D103" s="88"/>
    </row>
    <row r="104" spans="1:4" x14ac:dyDescent="0.3">
      <c r="A104" s="9" t="s">
        <v>12</v>
      </c>
      <c r="B104" s="10" t="s">
        <v>50</v>
      </c>
      <c r="C104" s="9" t="s">
        <v>93</v>
      </c>
      <c r="D104" s="11">
        <v>11.1111</v>
      </c>
    </row>
    <row r="105" spans="1:4" x14ac:dyDescent="0.3">
      <c r="A105" s="9" t="s">
        <v>12</v>
      </c>
      <c r="B105" s="10" t="s">
        <v>50</v>
      </c>
      <c r="C105" s="9" t="s">
        <v>71</v>
      </c>
      <c r="D105" s="11">
        <v>11.1111</v>
      </c>
    </row>
    <row r="106" spans="1:4" x14ac:dyDescent="0.3">
      <c r="A106" s="9" t="s">
        <v>12</v>
      </c>
      <c r="B106" s="10" t="s">
        <v>50</v>
      </c>
      <c r="C106" s="9" t="s">
        <v>66</v>
      </c>
      <c r="D106" s="11">
        <v>11.1111</v>
      </c>
    </row>
    <row r="107" spans="1:4" x14ac:dyDescent="0.3">
      <c r="A107" s="9" t="s">
        <v>12</v>
      </c>
      <c r="B107" s="10" t="s">
        <v>50</v>
      </c>
      <c r="C107" s="9" t="s">
        <v>72</v>
      </c>
      <c r="D107" s="11">
        <v>11.1111</v>
      </c>
    </row>
    <row r="108" spans="1:4" x14ac:dyDescent="0.3">
      <c r="A108" s="9" t="s">
        <v>12</v>
      </c>
      <c r="B108" s="10" t="s">
        <v>50</v>
      </c>
      <c r="C108" s="9" t="s">
        <v>57</v>
      </c>
      <c r="D108" s="11">
        <v>11.1111</v>
      </c>
    </row>
    <row r="109" spans="1:4" x14ac:dyDescent="0.3">
      <c r="A109" s="9" t="s">
        <v>12</v>
      </c>
      <c r="B109" s="10" t="s">
        <v>50</v>
      </c>
      <c r="C109" s="9" t="s">
        <v>54</v>
      </c>
      <c r="D109" s="11">
        <v>11.1111</v>
      </c>
    </row>
    <row r="110" spans="1:4" x14ac:dyDescent="0.3">
      <c r="A110" s="9" t="s">
        <v>12</v>
      </c>
      <c r="B110" s="10" t="s">
        <v>50</v>
      </c>
      <c r="C110" s="9" t="s">
        <v>67</v>
      </c>
      <c r="D110" s="11">
        <v>11.1111</v>
      </c>
    </row>
    <row r="111" spans="1:4" x14ac:dyDescent="0.3">
      <c r="A111" s="9" t="s">
        <v>12</v>
      </c>
      <c r="B111" s="10" t="s">
        <v>50</v>
      </c>
      <c r="C111" s="9" t="s">
        <v>62</v>
      </c>
      <c r="D111" s="11">
        <v>11.1111</v>
      </c>
    </row>
    <row r="112" spans="1:4" x14ac:dyDescent="0.3">
      <c r="A112" s="9" t="s">
        <v>12</v>
      </c>
      <c r="B112" s="10" t="s">
        <v>50</v>
      </c>
      <c r="C112" s="9" t="s">
        <v>59</v>
      </c>
      <c r="D112" s="11">
        <v>11.1111</v>
      </c>
    </row>
    <row r="113" spans="1:4" x14ac:dyDescent="0.3">
      <c r="A113" s="12" t="s">
        <v>12</v>
      </c>
      <c r="B113" s="13" t="s">
        <v>60</v>
      </c>
      <c r="C113" s="12" t="s">
        <v>56</v>
      </c>
      <c r="D113" s="14">
        <v>-11.1111</v>
      </c>
    </row>
    <row r="114" spans="1:4" x14ac:dyDescent="0.3">
      <c r="A114" s="12" t="s">
        <v>12</v>
      </c>
      <c r="B114" s="13" t="s">
        <v>60</v>
      </c>
      <c r="C114" s="12" t="s">
        <v>90</v>
      </c>
      <c r="D114" s="14">
        <v>-11.1111</v>
      </c>
    </row>
    <row r="115" spans="1:4" x14ac:dyDescent="0.3">
      <c r="A115" s="12" t="s">
        <v>12</v>
      </c>
      <c r="B115" s="13" t="s">
        <v>60</v>
      </c>
      <c r="C115" s="12" t="s">
        <v>88</v>
      </c>
      <c r="D115" s="14">
        <v>-11.1111</v>
      </c>
    </row>
    <row r="116" spans="1:4" x14ac:dyDescent="0.3">
      <c r="A116" s="12" t="s">
        <v>12</v>
      </c>
      <c r="B116" s="13" t="s">
        <v>60</v>
      </c>
      <c r="C116" s="12" t="s">
        <v>89</v>
      </c>
      <c r="D116" s="14">
        <v>-11.1111</v>
      </c>
    </row>
    <row r="117" spans="1:4" x14ac:dyDescent="0.3">
      <c r="A117" s="12" t="s">
        <v>12</v>
      </c>
      <c r="B117" s="13" t="s">
        <v>60</v>
      </c>
      <c r="C117" s="12" t="s">
        <v>82</v>
      </c>
      <c r="D117" s="14">
        <v>-11.1111</v>
      </c>
    </row>
    <row r="118" spans="1:4" x14ac:dyDescent="0.3">
      <c r="A118" s="12" t="s">
        <v>12</v>
      </c>
      <c r="B118" s="13" t="s">
        <v>60</v>
      </c>
      <c r="C118" s="12" t="s">
        <v>73</v>
      </c>
      <c r="D118" s="14">
        <v>-11.1111</v>
      </c>
    </row>
    <row r="119" spans="1:4" x14ac:dyDescent="0.3">
      <c r="A119" s="12" t="s">
        <v>12</v>
      </c>
      <c r="B119" s="13" t="s">
        <v>60</v>
      </c>
      <c r="C119" s="12" t="s">
        <v>96</v>
      </c>
      <c r="D119" s="14">
        <v>-11.1111</v>
      </c>
    </row>
    <row r="120" spans="1:4" x14ac:dyDescent="0.3">
      <c r="A120" s="12" t="s">
        <v>12</v>
      </c>
      <c r="B120" s="13" t="s">
        <v>60</v>
      </c>
      <c r="C120" s="12" t="s">
        <v>55</v>
      </c>
      <c r="D120" s="14">
        <v>-11.1111</v>
      </c>
    </row>
    <row r="121" spans="1:4" x14ac:dyDescent="0.3">
      <c r="A121" s="12" t="s">
        <v>12</v>
      </c>
      <c r="B121" s="13" t="s">
        <v>60</v>
      </c>
      <c r="C121" s="12" t="s">
        <v>91</v>
      </c>
      <c r="D121" s="14">
        <v>-11.1111</v>
      </c>
    </row>
    <row r="123" spans="1:4" ht="18" customHeight="1" x14ac:dyDescent="0.3">
      <c r="A123" s="101" t="s">
        <v>98</v>
      </c>
      <c r="B123" s="88"/>
      <c r="C123" s="88"/>
      <c r="D123" s="88"/>
    </row>
    <row r="124" spans="1:4" x14ac:dyDescent="0.3">
      <c r="A124" s="9" t="s">
        <v>17</v>
      </c>
      <c r="B124" s="10" t="s">
        <v>50</v>
      </c>
      <c r="C124" s="9" t="s">
        <v>62</v>
      </c>
      <c r="D124" s="11">
        <v>11.1111</v>
      </c>
    </row>
    <row r="125" spans="1:4" x14ac:dyDescent="0.3">
      <c r="A125" s="9" t="s">
        <v>17</v>
      </c>
      <c r="B125" s="10" t="s">
        <v>50</v>
      </c>
      <c r="C125" s="9" t="s">
        <v>68</v>
      </c>
      <c r="D125" s="11">
        <v>11.1111</v>
      </c>
    </row>
    <row r="126" spans="1:4" x14ac:dyDescent="0.3">
      <c r="A126" s="9" t="s">
        <v>17</v>
      </c>
      <c r="B126" s="10" t="s">
        <v>50</v>
      </c>
      <c r="C126" s="9" t="s">
        <v>71</v>
      </c>
      <c r="D126" s="11">
        <v>11.1111</v>
      </c>
    </row>
    <row r="127" spans="1:4" x14ac:dyDescent="0.3">
      <c r="A127" s="9" t="s">
        <v>17</v>
      </c>
      <c r="B127" s="10" t="s">
        <v>50</v>
      </c>
      <c r="C127" s="9" t="s">
        <v>54</v>
      </c>
      <c r="D127" s="11">
        <v>11.1111</v>
      </c>
    </row>
    <row r="128" spans="1:4" x14ac:dyDescent="0.3">
      <c r="A128" s="9" t="s">
        <v>17</v>
      </c>
      <c r="B128" s="10" t="s">
        <v>50</v>
      </c>
      <c r="C128" s="9" t="s">
        <v>81</v>
      </c>
      <c r="D128" s="11">
        <v>11.1111</v>
      </c>
    </row>
    <row r="129" spans="1:4" x14ac:dyDescent="0.3">
      <c r="A129" s="9" t="s">
        <v>17</v>
      </c>
      <c r="B129" s="10" t="s">
        <v>50</v>
      </c>
      <c r="C129" s="9" t="s">
        <v>59</v>
      </c>
      <c r="D129" s="11">
        <v>11.1111</v>
      </c>
    </row>
    <row r="130" spans="1:4" x14ac:dyDescent="0.3">
      <c r="A130" s="9" t="s">
        <v>17</v>
      </c>
      <c r="B130" s="10" t="s">
        <v>50</v>
      </c>
      <c r="C130" s="9" t="s">
        <v>57</v>
      </c>
      <c r="D130" s="11">
        <v>11.1111</v>
      </c>
    </row>
    <row r="131" spans="1:4" x14ac:dyDescent="0.3">
      <c r="A131" s="9" t="s">
        <v>17</v>
      </c>
      <c r="B131" s="10" t="s">
        <v>50</v>
      </c>
      <c r="C131" s="9" t="s">
        <v>67</v>
      </c>
      <c r="D131" s="11">
        <v>11.1111</v>
      </c>
    </row>
    <row r="132" spans="1:4" x14ac:dyDescent="0.3">
      <c r="A132" s="9" t="s">
        <v>17</v>
      </c>
      <c r="B132" s="10" t="s">
        <v>50</v>
      </c>
      <c r="C132" s="9" t="s">
        <v>99</v>
      </c>
      <c r="D132" s="11">
        <v>11.1111</v>
      </c>
    </row>
    <row r="133" spans="1:4" x14ac:dyDescent="0.3">
      <c r="A133" s="12" t="s">
        <v>17</v>
      </c>
      <c r="B133" s="13" t="s">
        <v>60</v>
      </c>
      <c r="C133" s="12" t="s">
        <v>77</v>
      </c>
      <c r="D133" s="14">
        <v>-11.1111</v>
      </c>
    </row>
    <row r="134" spans="1:4" x14ac:dyDescent="0.3">
      <c r="A134" s="12" t="s">
        <v>17</v>
      </c>
      <c r="B134" s="13" t="s">
        <v>60</v>
      </c>
      <c r="C134" s="12" t="s">
        <v>76</v>
      </c>
      <c r="D134" s="14">
        <v>-11.1111</v>
      </c>
    </row>
    <row r="135" spans="1:4" x14ac:dyDescent="0.3">
      <c r="A135" s="12" t="s">
        <v>17</v>
      </c>
      <c r="B135" s="13" t="s">
        <v>60</v>
      </c>
      <c r="C135" s="12" t="s">
        <v>74</v>
      </c>
      <c r="D135" s="14">
        <v>-11.1111</v>
      </c>
    </row>
    <row r="136" spans="1:4" x14ac:dyDescent="0.3">
      <c r="A136" s="12" t="s">
        <v>17</v>
      </c>
      <c r="B136" s="13" t="s">
        <v>60</v>
      </c>
      <c r="C136" s="12" t="s">
        <v>100</v>
      </c>
      <c r="D136" s="14">
        <v>-11.1111</v>
      </c>
    </row>
    <row r="137" spans="1:4" x14ac:dyDescent="0.3">
      <c r="A137" s="12" t="s">
        <v>17</v>
      </c>
      <c r="B137" s="13" t="s">
        <v>60</v>
      </c>
      <c r="C137" s="12" t="s">
        <v>84</v>
      </c>
      <c r="D137" s="14">
        <v>-11.1111</v>
      </c>
    </row>
    <row r="138" spans="1:4" x14ac:dyDescent="0.3">
      <c r="A138" s="12" t="s">
        <v>17</v>
      </c>
      <c r="B138" s="13" t="s">
        <v>60</v>
      </c>
      <c r="C138" s="12" t="s">
        <v>90</v>
      </c>
      <c r="D138" s="14">
        <v>-11.1111</v>
      </c>
    </row>
    <row r="139" spans="1:4" x14ac:dyDescent="0.3">
      <c r="A139" s="12" t="s">
        <v>17</v>
      </c>
      <c r="B139" s="13" t="s">
        <v>60</v>
      </c>
      <c r="C139" s="12" t="s">
        <v>69</v>
      </c>
      <c r="D139" s="14">
        <v>-11.1111</v>
      </c>
    </row>
    <row r="140" spans="1:4" x14ac:dyDescent="0.3">
      <c r="A140" s="12" t="s">
        <v>17</v>
      </c>
      <c r="B140" s="13" t="s">
        <v>60</v>
      </c>
      <c r="C140" s="12" t="s">
        <v>78</v>
      </c>
      <c r="D140" s="14">
        <v>-11.1111</v>
      </c>
    </row>
    <row r="141" spans="1:4" x14ac:dyDescent="0.3">
      <c r="A141" s="12" t="s">
        <v>17</v>
      </c>
      <c r="B141" s="13" t="s">
        <v>60</v>
      </c>
      <c r="C141" s="12" t="s">
        <v>55</v>
      </c>
      <c r="D141" s="14">
        <v>-11.1111</v>
      </c>
    </row>
    <row r="143" spans="1:4" ht="18" customHeight="1" x14ac:dyDescent="0.3">
      <c r="A143" s="97" t="s">
        <v>101</v>
      </c>
      <c r="B143" s="88"/>
      <c r="C143" s="88"/>
      <c r="D143" s="88"/>
    </row>
    <row r="144" spans="1:4" x14ac:dyDescent="0.3">
      <c r="A144" s="9" t="s">
        <v>22</v>
      </c>
      <c r="B144" s="10" t="s">
        <v>50</v>
      </c>
      <c r="C144" s="9" t="s">
        <v>99</v>
      </c>
      <c r="D144" s="11">
        <v>11.1111</v>
      </c>
    </row>
    <row r="145" spans="1:4" x14ac:dyDescent="0.3">
      <c r="A145" s="9" t="s">
        <v>22</v>
      </c>
      <c r="B145" s="10" t="s">
        <v>50</v>
      </c>
      <c r="C145" s="9" t="s">
        <v>59</v>
      </c>
      <c r="D145" s="11">
        <v>11.1111</v>
      </c>
    </row>
    <row r="146" spans="1:4" x14ac:dyDescent="0.3">
      <c r="A146" s="9" t="s">
        <v>22</v>
      </c>
      <c r="B146" s="10" t="s">
        <v>50</v>
      </c>
      <c r="C146" s="9" t="s">
        <v>68</v>
      </c>
      <c r="D146" s="11">
        <v>11.1111</v>
      </c>
    </row>
    <row r="147" spans="1:4" x14ac:dyDescent="0.3">
      <c r="A147" s="9" t="s">
        <v>22</v>
      </c>
      <c r="B147" s="10" t="s">
        <v>50</v>
      </c>
      <c r="C147" s="9" t="s">
        <v>73</v>
      </c>
      <c r="D147" s="11">
        <v>11.1111</v>
      </c>
    </row>
    <row r="148" spans="1:4" x14ac:dyDescent="0.3">
      <c r="A148" s="9" t="s">
        <v>22</v>
      </c>
      <c r="B148" s="10" t="s">
        <v>50</v>
      </c>
      <c r="C148" s="9" t="s">
        <v>75</v>
      </c>
      <c r="D148" s="11">
        <v>11.1111</v>
      </c>
    </row>
    <row r="149" spans="1:4" x14ac:dyDescent="0.3">
      <c r="A149" s="9" t="s">
        <v>22</v>
      </c>
      <c r="B149" s="10" t="s">
        <v>50</v>
      </c>
      <c r="C149" s="9" t="s">
        <v>52</v>
      </c>
      <c r="D149" s="11">
        <v>11.1111</v>
      </c>
    </row>
    <row r="150" spans="1:4" x14ac:dyDescent="0.3">
      <c r="A150" s="9" t="s">
        <v>22</v>
      </c>
      <c r="B150" s="10" t="s">
        <v>50</v>
      </c>
      <c r="C150" s="9" t="s">
        <v>78</v>
      </c>
      <c r="D150" s="11">
        <v>11.1111</v>
      </c>
    </row>
    <row r="151" spans="1:4" x14ac:dyDescent="0.3">
      <c r="A151" s="9" t="s">
        <v>22</v>
      </c>
      <c r="B151" s="10" t="s">
        <v>50</v>
      </c>
      <c r="C151" s="9" t="s">
        <v>90</v>
      </c>
      <c r="D151" s="11">
        <v>11.1111</v>
      </c>
    </row>
    <row r="152" spans="1:4" x14ac:dyDescent="0.3">
      <c r="A152" s="9" t="s">
        <v>22</v>
      </c>
      <c r="B152" s="10" t="s">
        <v>50</v>
      </c>
      <c r="C152" s="9" t="s">
        <v>102</v>
      </c>
      <c r="D152" s="11">
        <v>11.1111</v>
      </c>
    </row>
    <row r="153" spans="1:4" x14ac:dyDescent="0.3">
      <c r="A153" s="12" t="s">
        <v>22</v>
      </c>
      <c r="B153" s="13" t="s">
        <v>60</v>
      </c>
      <c r="C153" s="12" t="s">
        <v>82</v>
      </c>
      <c r="D153" s="14">
        <v>-11.1111</v>
      </c>
    </row>
    <row r="154" spans="1:4" x14ac:dyDescent="0.3">
      <c r="A154" s="12" t="s">
        <v>22</v>
      </c>
      <c r="B154" s="13" t="s">
        <v>60</v>
      </c>
      <c r="C154" s="12" t="s">
        <v>58</v>
      </c>
      <c r="D154" s="14">
        <v>-11.1111</v>
      </c>
    </row>
    <row r="155" spans="1:4" x14ac:dyDescent="0.3">
      <c r="A155" s="12" t="s">
        <v>22</v>
      </c>
      <c r="B155" s="13" t="s">
        <v>60</v>
      </c>
      <c r="C155" s="12" t="s">
        <v>96</v>
      </c>
      <c r="D155" s="14">
        <v>-11.1111</v>
      </c>
    </row>
    <row r="156" spans="1:4" x14ac:dyDescent="0.3">
      <c r="A156" s="12" t="s">
        <v>22</v>
      </c>
      <c r="B156" s="13" t="s">
        <v>60</v>
      </c>
      <c r="C156" s="12" t="s">
        <v>92</v>
      </c>
      <c r="D156" s="14">
        <v>-11.1111</v>
      </c>
    </row>
    <row r="157" spans="1:4" x14ac:dyDescent="0.3">
      <c r="A157" s="12" t="s">
        <v>22</v>
      </c>
      <c r="B157" s="13" t="s">
        <v>60</v>
      </c>
      <c r="C157" s="12" t="s">
        <v>103</v>
      </c>
      <c r="D157" s="14">
        <v>-11.1111</v>
      </c>
    </row>
    <row r="158" spans="1:4" x14ac:dyDescent="0.3">
      <c r="A158" s="12" t="s">
        <v>22</v>
      </c>
      <c r="B158" s="13" t="s">
        <v>60</v>
      </c>
      <c r="C158" s="12" t="s">
        <v>57</v>
      </c>
      <c r="D158" s="14">
        <v>-11.1111</v>
      </c>
    </row>
    <row r="159" spans="1:4" x14ac:dyDescent="0.3">
      <c r="A159" s="12" t="s">
        <v>22</v>
      </c>
      <c r="B159" s="13" t="s">
        <v>60</v>
      </c>
      <c r="C159" s="12" t="s">
        <v>72</v>
      </c>
      <c r="D159" s="14">
        <v>-11.1111</v>
      </c>
    </row>
    <row r="160" spans="1:4" x14ac:dyDescent="0.3">
      <c r="A160" s="12" t="s">
        <v>22</v>
      </c>
      <c r="B160" s="13" t="s">
        <v>60</v>
      </c>
      <c r="C160" s="12" t="s">
        <v>66</v>
      </c>
      <c r="D160" s="14">
        <v>-11.1111</v>
      </c>
    </row>
    <row r="161" spans="1:4" x14ac:dyDescent="0.3">
      <c r="A161" s="12" t="s">
        <v>22</v>
      </c>
      <c r="B161" s="13" t="s">
        <v>60</v>
      </c>
      <c r="C161" s="12" t="s">
        <v>62</v>
      </c>
      <c r="D161" s="14">
        <v>-11.1111</v>
      </c>
    </row>
    <row r="163" spans="1:4" ht="18" customHeight="1" x14ac:dyDescent="0.3">
      <c r="A163" s="98" t="s">
        <v>104</v>
      </c>
      <c r="B163" s="88"/>
      <c r="C163" s="88"/>
      <c r="D163" s="88"/>
    </row>
    <row r="164" spans="1:4" x14ac:dyDescent="0.3">
      <c r="A164" s="9" t="s">
        <v>14</v>
      </c>
      <c r="B164" s="10" t="s">
        <v>50</v>
      </c>
      <c r="C164" s="9" t="s">
        <v>103</v>
      </c>
      <c r="D164" s="11">
        <v>11.1111</v>
      </c>
    </row>
    <row r="165" spans="1:4" x14ac:dyDescent="0.3">
      <c r="A165" s="9" t="s">
        <v>14</v>
      </c>
      <c r="B165" s="10" t="s">
        <v>50</v>
      </c>
      <c r="C165" s="9" t="s">
        <v>67</v>
      </c>
      <c r="D165" s="11">
        <v>11.1111</v>
      </c>
    </row>
    <row r="166" spans="1:4" x14ac:dyDescent="0.3">
      <c r="A166" s="9" t="s">
        <v>14</v>
      </c>
      <c r="B166" s="10" t="s">
        <v>50</v>
      </c>
      <c r="C166" s="9" t="s">
        <v>76</v>
      </c>
      <c r="D166" s="11">
        <v>11.1111</v>
      </c>
    </row>
    <row r="167" spans="1:4" x14ac:dyDescent="0.3">
      <c r="A167" s="9" t="s">
        <v>14</v>
      </c>
      <c r="B167" s="10" t="s">
        <v>50</v>
      </c>
      <c r="C167" s="9" t="s">
        <v>105</v>
      </c>
      <c r="D167" s="11">
        <v>11.1111</v>
      </c>
    </row>
    <row r="168" spans="1:4" x14ac:dyDescent="0.3">
      <c r="A168" s="9" t="s">
        <v>14</v>
      </c>
      <c r="B168" s="10" t="s">
        <v>50</v>
      </c>
      <c r="C168" s="9" t="s">
        <v>52</v>
      </c>
      <c r="D168" s="11">
        <v>11.1111</v>
      </c>
    </row>
    <row r="169" spans="1:4" x14ac:dyDescent="0.3">
      <c r="A169" s="9" t="s">
        <v>14</v>
      </c>
      <c r="B169" s="10" t="s">
        <v>50</v>
      </c>
      <c r="C169" s="9" t="s">
        <v>88</v>
      </c>
      <c r="D169" s="11">
        <v>11.1111</v>
      </c>
    </row>
    <row r="170" spans="1:4" x14ac:dyDescent="0.3">
      <c r="A170" s="9" t="s">
        <v>14</v>
      </c>
      <c r="B170" s="10" t="s">
        <v>50</v>
      </c>
      <c r="C170" s="9" t="s">
        <v>53</v>
      </c>
      <c r="D170" s="11">
        <v>11.1111</v>
      </c>
    </row>
    <row r="171" spans="1:4" x14ac:dyDescent="0.3">
      <c r="A171" s="9" t="s">
        <v>14</v>
      </c>
      <c r="B171" s="10" t="s">
        <v>50</v>
      </c>
      <c r="C171" s="9" t="s">
        <v>63</v>
      </c>
      <c r="D171" s="11">
        <v>11.1111</v>
      </c>
    </row>
    <row r="172" spans="1:4" x14ac:dyDescent="0.3">
      <c r="A172" s="9" t="s">
        <v>14</v>
      </c>
      <c r="B172" s="10" t="s">
        <v>50</v>
      </c>
      <c r="C172" s="9" t="s">
        <v>89</v>
      </c>
      <c r="D172" s="11">
        <v>11.1111</v>
      </c>
    </row>
    <row r="173" spans="1:4" x14ac:dyDescent="0.3">
      <c r="A173" s="12" t="s">
        <v>14</v>
      </c>
      <c r="B173" s="13" t="s">
        <v>60</v>
      </c>
      <c r="C173" s="12" t="s">
        <v>72</v>
      </c>
      <c r="D173" s="14">
        <v>-11.1111</v>
      </c>
    </row>
    <row r="174" spans="1:4" x14ac:dyDescent="0.3">
      <c r="A174" s="12" t="s">
        <v>14</v>
      </c>
      <c r="B174" s="13" t="s">
        <v>60</v>
      </c>
      <c r="C174" s="12" t="s">
        <v>57</v>
      </c>
      <c r="D174" s="14">
        <v>-11.1111</v>
      </c>
    </row>
    <row r="175" spans="1:4" x14ac:dyDescent="0.3">
      <c r="A175" s="12" t="s">
        <v>14</v>
      </c>
      <c r="B175" s="13" t="s">
        <v>60</v>
      </c>
      <c r="C175" s="12" t="s">
        <v>62</v>
      </c>
      <c r="D175" s="14">
        <v>-11.1111</v>
      </c>
    </row>
    <row r="176" spans="1:4" x14ac:dyDescent="0.3">
      <c r="A176" s="12" t="s">
        <v>14</v>
      </c>
      <c r="B176" s="13" t="s">
        <v>60</v>
      </c>
      <c r="C176" s="12" t="s">
        <v>100</v>
      </c>
      <c r="D176" s="14">
        <v>-11.1111</v>
      </c>
    </row>
    <row r="177" spans="1:4" x14ac:dyDescent="0.3">
      <c r="A177" s="12" t="s">
        <v>14</v>
      </c>
      <c r="B177" s="13" t="s">
        <v>60</v>
      </c>
      <c r="C177" s="12" t="s">
        <v>82</v>
      </c>
      <c r="D177" s="14">
        <v>-11.1111</v>
      </c>
    </row>
    <row r="178" spans="1:4" x14ac:dyDescent="0.3">
      <c r="A178" s="12" t="s">
        <v>14</v>
      </c>
      <c r="B178" s="13" t="s">
        <v>60</v>
      </c>
      <c r="C178" s="12" t="s">
        <v>81</v>
      </c>
      <c r="D178" s="14">
        <v>-11.1111</v>
      </c>
    </row>
    <row r="179" spans="1:4" x14ac:dyDescent="0.3">
      <c r="A179" s="12" t="s">
        <v>14</v>
      </c>
      <c r="B179" s="13" t="s">
        <v>60</v>
      </c>
      <c r="C179" s="12" t="s">
        <v>102</v>
      </c>
      <c r="D179" s="14">
        <v>-11.1111</v>
      </c>
    </row>
    <row r="180" spans="1:4" x14ac:dyDescent="0.3">
      <c r="A180" s="12" t="s">
        <v>14</v>
      </c>
      <c r="B180" s="13" t="s">
        <v>60</v>
      </c>
      <c r="C180" s="12" t="s">
        <v>92</v>
      </c>
      <c r="D180" s="14">
        <v>-11.1111</v>
      </c>
    </row>
    <row r="181" spans="1:4" x14ac:dyDescent="0.3">
      <c r="A181" s="12" t="s">
        <v>14</v>
      </c>
      <c r="B181" s="13" t="s">
        <v>60</v>
      </c>
      <c r="C181" s="12" t="s">
        <v>66</v>
      </c>
      <c r="D181" s="14">
        <v>-11.1111</v>
      </c>
    </row>
    <row r="183" spans="1:4" ht="18" customHeight="1" x14ac:dyDescent="0.3">
      <c r="A183" s="98" t="s">
        <v>106</v>
      </c>
      <c r="B183" s="88"/>
      <c r="C183" s="88"/>
      <c r="D183" s="88"/>
    </row>
    <row r="184" spans="1:4" x14ac:dyDescent="0.3">
      <c r="A184" s="9" t="s">
        <v>10</v>
      </c>
      <c r="B184" s="10" t="s">
        <v>50</v>
      </c>
      <c r="C184" s="9" t="s">
        <v>53</v>
      </c>
      <c r="D184" s="11">
        <v>11.1111</v>
      </c>
    </row>
    <row r="185" spans="1:4" x14ac:dyDescent="0.3">
      <c r="A185" s="9" t="s">
        <v>10</v>
      </c>
      <c r="B185" s="10" t="s">
        <v>50</v>
      </c>
      <c r="C185" s="9" t="s">
        <v>107</v>
      </c>
      <c r="D185" s="11">
        <v>11.1111</v>
      </c>
    </row>
    <row r="186" spans="1:4" x14ac:dyDescent="0.3">
      <c r="A186" s="9" t="s">
        <v>10</v>
      </c>
      <c r="B186" s="10" t="s">
        <v>50</v>
      </c>
      <c r="C186" s="9" t="s">
        <v>57</v>
      </c>
      <c r="D186" s="11">
        <v>11.1111</v>
      </c>
    </row>
    <row r="187" spans="1:4" x14ac:dyDescent="0.3">
      <c r="A187" s="9" t="s">
        <v>10</v>
      </c>
      <c r="B187" s="10" t="s">
        <v>50</v>
      </c>
      <c r="C187" s="9" t="s">
        <v>82</v>
      </c>
      <c r="D187" s="11">
        <v>11.1111</v>
      </c>
    </row>
    <row r="188" spans="1:4" x14ac:dyDescent="0.3">
      <c r="A188" s="9" t="s">
        <v>10</v>
      </c>
      <c r="B188" s="10" t="s">
        <v>50</v>
      </c>
      <c r="C188" s="9" t="s">
        <v>79</v>
      </c>
      <c r="D188" s="11">
        <v>11.1111</v>
      </c>
    </row>
    <row r="189" spans="1:4" x14ac:dyDescent="0.3">
      <c r="A189" s="9" t="s">
        <v>10</v>
      </c>
      <c r="B189" s="10" t="s">
        <v>50</v>
      </c>
      <c r="C189" s="9" t="s">
        <v>71</v>
      </c>
      <c r="D189" s="11">
        <v>11.1111</v>
      </c>
    </row>
    <row r="190" spans="1:4" x14ac:dyDescent="0.3">
      <c r="A190" s="9" t="s">
        <v>10</v>
      </c>
      <c r="B190" s="10" t="s">
        <v>50</v>
      </c>
      <c r="C190" s="9" t="s">
        <v>93</v>
      </c>
      <c r="D190" s="11">
        <v>11.1111</v>
      </c>
    </row>
    <row r="191" spans="1:4" x14ac:dyDescent="0.3">
      <c r="A191" s="9" t="s">
        <v>10</v>
      </c>
      <c r="B191" s="10" t="s">
        <v>50</v>
      </c>
      <c r="C191" s="9" t="s">
        <v>62</v>
      </c>
      <c r="D191" s="11">
        <v>11.1111</v>
      </c>
    </row>
    <row r="192" spans="1:4" x14ac:dyDescent="0.3">
      <c r="A192" s="9" t="s">
        <v>10</v>
      </c>
      <c r="B192" s="10" t="s">
        <v>50</v>
      </c>
      <c r="C192" s="9" t="s">
        <v>67</v>
      </c>
      <c r="D192" s="11">
        <v>11.1111</v>
      </c>
    </row>
    <row r="193" spans="1:4" x14ac:dyDescent="0.3">
      <c r="A193" s="12" t="s">
        <v>10</v>
      </c>
      <c r="B193" s="13" t="s">
        <v>60</v>
      </c>
      <c r="C193" s="12" t="s">
        <v>56</v>
      </c>
      <c r="D193" s="14">
        <v>-11.1111</v>
      </c>
    </row>
    <row r="194" spans="1:4" x14ac:dyDescent="0.3">
      <c r="A194" s="12" t="s">
        <v>10</v>
      </c>
      <c r="B194" s="13" t="s">
        <v>60</v>
      </c>
      <c r="C194" s="12" t="s">
        <v>59</v>
      </c>
      <c r="D194" s="14">
        <v>-11.1111</v>
      </c>
    </row>
    <row r="195" spans="1:4" x14ac:dyDescent="0.3">
      <c r="A195" s="12" t="s">
        <v>10</v>
      </c>
      <c r="B195" s="13" t="s">
        <v>60</v>
      </c>
      <c r="C195" s="12" t="s">
        <v>95</v>
      </c>
      <c r="D195" s="14">
        <v>-11.1111</v>
      </c>
    </row>
    <row r="196" spans="1:4" x14ac:dyDescent="0.3">
      <c r="A196" s="12" t="s">
        <v>10</v>
      </c>
      <c r="B196" s="13" t="s">
        <v>60</v>
      </c>
      <c r="C196" s="12" t="s">
        <v>78</v>
      </c>
      <c r="D196" s="14">
        <v>-11.1111</v>
      </c>
    </row>
    <row r="197" spans="1:4" x14ac:dyDescent="0.3">
      <c r="A197" s="12" t="s">
        <v>10</v>
      </c>
      <c r="B197" s="13" t="s">
        <v>60</v>
      </c>
      <c r="C197" s="12" t="s">
        <v>72</v>
      </c>
      <c r="D197" s="14">
        <v>-11.1111</v>
      </c>
    </row>
    <row r="198" spans="1:4" x14ac:dyDescent="0.3">
      <c r="A198" s="12" t="s">
        <v>10</v>
      </c>
      <c r="B198" s="13" t="s">
        <v>60</v>
      </c>
      <c r="C198" s="12" t="s">
        <v>61</v>
      </c>
      <c r="D198" s="14">
        <v>-11.1111</v>
      </c>
    </row>
    <row r="199" spans="1:4" x14ac:dyDescent="0.3">
      <c r="A199" s="12" t="s">
        <v>10</v>
      </c>
      <c r="B199" s="13" t="s">
        <v>60</v>
      </c>
      <c r="C199" s="12" t="s">
        <v>100</v>
      </c>
      <c r="D199" s="14">
        <v>-11.1111</v>
      </c>
    </row>
    <row r="200" spans="1:4" x14ac:dyDescent="0.3">
      <c r="A200" s="12" t="s">
        <v>10</v>
      </c>
      <c r="B200" s="13" t="s">
        <v>60</v>
      </c>
      <c r="C200" s="12" t="s">
        <v>74</v>
      </c>
      <c r="D200" s="14">
        <v>-11.1111</v>
      </c>
    </row>
    <row r="201" spans="1:4" x14ac:dyDescent="0.3">
      <c r="A201" s="12" t="s">
        <v>10</v>
      </c>
      <c r="B201" s="13" t="s">
        <v>60</v>
      </c>
      <c r="C201" s="12" t="s">
        <v>69</v>
      </c>
      <c r="D201" s="14">
        <v>-11.1111</v>
      </c>
    </row>
    <row r="203" spans="1:4" ht="18" customHeight="1" x14ac:dyDescent="0.3">
      <c r="A203" s="102" t="s">
        <v>108</v>
      </c>
      <c r="B203" s="88"/>
      <c r="C203" s="88"/>
      <c r="D203" s="88"/>
    </row>
    <row r="204" spans="1:4" x14ac:dyDescent="0.3">
      <c r="A204" s="9" t="s">
        <v>20</v>
      </c>
      <c r="B204" s="10" t="s">
        <v>50</v>
      </c>
      <c r="C204" s="9" t="s">
        <v>72</v>
      </c>
      <c r="D204" s="11">
        <v>11.1111</v>
      </c>
    </row>
    <row r="205" spans="1:4" x14ac:dyDescent="0.3">
      <c r="A205" s="9" t="s">
        <v>20</v>
      </c>
      <c r="B205" s="10" t="s">
        <v>50</v>
      </c>
      <c r="C205" s="9" t="s">
        <v>76</v>
      </c>
      <c r="D205" s="11">
        <v>11.1111</v>
      </c>
    </row>
    <row r="206" spans="1:4" x14ac:dyDescent="0.3">
      <c r="A206" s="9" t="s">
        <v>20</v>
      </c>
      <c r="B206" s="10" t="s">
        <v>50</v>
      </c>
      <c r="C206" s="9" t="s">
        <v>58</v>
      </c>
      <c r="D206" s="11">
        <v>11.1111</v>
      </c>
    </row>
    <row r="207" spans="1:4" x14ac:dyDescent="0.3">
      <c r="A207" s="9" t="s">
        <v>20</v>
      </c>
      <c r="B207" s="10" t="s">
        <v>50</v>
      </c>
      <c r="C207" s="9" t="s">
        <v>96</v>
      </c>
      <c r="D207" s="11">
        <v>11.1111</v>
      </c>
    </row>
    <row r="208" spans="1:4" x14ac:dyDescent="0.3">
      <c r="A208" s="9" t="s">
        <v>20</v>
      </c>
      <c r="B208" s="10" t="s">
        <v>50</v>
      </c>
      <c r="C208" s="9" t="s">
        <v>81</v>
      </c>
      <c r="D208" s="11">
        <v>11.1111</v>
      </c>
    </row>
    <row r="209" spans="1:4" x14ac:dyDescent="0.3">
      <c r="A209" s="9" t="s">
        <v>20</v>
      </c>
      <c r="B209" s="10" t="s">
        <v>50</v>
      </c>
      <c r="C209" s="9" t="s">
        <v>89</v>
      </c>
      <c r="D209" s="11">
        <v>11.1111</v>
      </c>
    </row>
    <row r="210" spans="1:4" x14ac:dyDescent="0.3">
      <c r="A210" s="9" t="s">
        <v>20</v>
      </c>
      <c r="B210" s="10" t="s">
        <v>50</v>
      </c>
      <c r="C210" s="9" t="s">
        <v>54</v>
      </c>
      <c r="D210" s="11">
        <v>11.1111</v>
      </c>
    </row>
    <row r="211" spans="1:4" x14ac:dyDescent="0.3">
      <c r="A211" s="9" t="s">
        <v>20</v>
      </c>
      <c r="B211" s="10" t="s">
        <v>50</v>
      </c>
      <c r="C211" s="9" t="s">
        <v>68</v>
      </c>
      <c r="D211" s="11">
        <v>11.1111</v>
      </c>
    </row>
    <row r="212" spans="1:4" x14ac:dyDescent="0.3">
      <c r="A212" s="9" t="s">
        <v>20</v>
      </c>
      <c r="B212" s="10" t="s">
        <v>50</v>
      </c>
      <c r="C212" s="9" t="s">
        <v>59</v>
      </c>
      <c r="D212" s="11">
        <v>11.1111</v>
      </c>
    </row>
    <row r="213" spans="1:4" x14ac:dyDescent="0.3">
      <c r="A213" s="12" t="s">
        <v>20</v>
      </c>
      <c r="B213" s="13" t="s">
        <v>60</v>
      </c>
      <c r="C213" s="12" t="s">
        <v>73</v>
      </c>
      <c r="D213" s="14">
        <v>-11.1111</v>
      </c>
    </row>
    <row r="214" spans="1:4" x14ac:dyDescent="0.3">
      <c r="A214" s="12" t="s">
        <v>20</v>
      </c>
      <c r="B214" s="13" t="s">
        <v>60</v>
      </c>
      <c r="C214" s="12" t="s">
        <v>105</v>
      </c>
      <c r="D214" s="14">
        <v>-11.1111</v>
      </c>
    </row>
    <row r="215" spans="1:4" x14ac:dyDescent="0.3">
      <c r="A215" s="12" t="s">
        <v>20</v>
      </c>
      <c r="B215" s="13" t="s">
        <v>60</v>
      </c>
      <c r="C215" s="12" t="s">
        <v>78</v>
      </c>
      <c r="D215" s="14">
        <v>-11.1111</v>
      </c>
    </row>
    <row r="216" spans="1:4" x14ac:dyDescent="0.3">
      <c r="A216" s="12" t="s">
        <v>20</v>
      </c>
      <c r="B216" s="13" t="s">
        <v>60</v>
      </c>
      <c r="C216" s="12" t="s">
        <v>75</v>
      </c>
      <c r="D216" s="14">
        <v>-11.1111</v>
      </c>
    </row>
    <row r="217" spans="1:4" x14ac:dyDescent="0.3">
      <c r="A217" s="12" t="s">
        <v>20</v>
      </c>
      <c r="B217" s="13" t="s">
        <v>60</v>
      </c>
      <c r="C217" s="12" t="s">
        <v>55</v>
      </c>
      <c r="D217" s="14">
        <v>-11.1111</v>
      </c>
    </row>
    <row r="218" spans="1:4" x14ac:dyDescent="0.3">
      <c r="A218" s="12" t="s">
        <v>20</v>
      </c>
      <c r="B218" s="13" t="s">
        <v>60</v>
      </c>
      <c r="C218" s="12" t="s">
        <v>79</v>
      </c>
      <c r="D218" s="14">
        <v>-11.1111</v>
      </c>
    </row>
    <row r="219" spans="1:4" x14ac:dyDescent="0.3">
      <c r="A219" s="12" t="s">
        <v>20</v>
      </c>
      <c r="B219" s="13" t="s">
        <v>60</v>
      </c>
      <c r="C219" s="12" t="s">
        <v>100</v>
      </c>
      <c r="D219" s="14">
        <v>-11.1111</v>
      </c>
    </row>
    <row r="220" spans="1:4" x14ac:dyDescent="0.3">
      <c r="A220" s="12" t="s">
        <v>20</v>
      </c>
      <c r="B220" s="13" t="s">
        <v>60</v>
      </c>
      <c r="C220" s="12" t="s">
        <v>61</v>
      </c>
      <c r="D220" s="14">
        <v>-11.1111</v>
      </c>
    </row>
    <row r="221" spans="1:4" x14ac:dyDescent="0.3">
      <c r="A221" s="12" t="s">
        <v>20</v>
      </c>
      <c r="B221" s="13" t="s">
        <v>60</v>
      </c>
      <c r="C221" s="12" t="s">
        <v>90</v>
      </c>
      <c r="D221" s="14">
        <v>-11.1111</v>
      </c>
    </row>
    <row r="223" spans="1:4" ht="18" customHeight="1" x14ac:dyDescent="0.3">
      <c r="A223" s="99" t="s">
        <v>109</v>
      </c>
      <c r="B223" s="88"/>
      <c r="C223" s="88"/>
      <c r="D223" s="88"/>
    </row>
    <row r="224" spans="1:4" x14ac:dyDescent="0.3">
      <c r="A224" s="9" t="s">
        <v>6</v>
      </c>
      <c r="B224" s="10" t="s">
        <v>50</v>
      </c>
      <c r="C224" s="9" t="s">
        <v>103</v>
      </c>
      <c r="D224" s="11">
        <v>11.1111</v>
      </c>
    </row>
    <row r="225" spans="1:4" x14ac:dyDescent="0.3">
      <c r="A225" s="9" t="s">
        <v>6</v>
      </c>
      <c r="B225" s="10" t="s">
        <v>50</v>
      </c>
      <c r="C225" s="9" t="s">
        <v>67</v>
      </c>
      <c r="D225" s="11">
        <v>11.1111</v>
      </c>
    </row>
    <row r="226" spans="1:4" x14ac:dyDescent="0.3">
      <c r="A226" s="9" t="s">
        <v>6</v>
      </c>
      <c r="B226" s="10" t="s">
        <v>50</v>
      </c>
      <c r="C226" s="9" t="s">
        <v>62</v>
      </c>
      <c r="D226" s="11">
        <v>11.1111</v>
      </c>
    </row>
    <row r="227" spans="1:4" x14ac:dyDescent="0.3">
      <c r="A227" s="9" t="s">
        <v>6</v>
      </c>
      <c r="B227" s="10" t="s">
        <v>50</v>
      </c>
      <c r="C227" s="9" t="s">
        <v>72</v>
      </c>
      <c r="D227" s="11">
        <v>11.1111</v>
      </c>
    </row>
    <row r="228" spans="1:4" x14ac:dyDescent="0.3">
      <c r="A228" s="9" t="s">
        <v>6</v>
      </c>
      <c r="B228" s="10" t="s">
        <v>50</v>
      </c>
      <c r="C228" s="9" t="s">
        <v>84</v>
      </c>
      <c r="D228" s="11">
        <v>11.1111</v>
      </c>
    </row>
    <row r="229" spans="1:4" x14ac:dyDescent="0.3">
      <c r="A229" s="9" t="s">
        <v>6</v>
      </c>
      <c r="B229" s="10" t="s">
        <v>50</v>
      </c>
      <c r="C229" s="9" t="s">
        <v>95</v>
      </c>
      <c r="D229" s="11">
        <v>11.1111</v>
      </c>
    </row>
    <row r="230" spans="1:4" x14ac:dyDescent="0.3">
      <c r="A230" s="9" t="s">
        <v>6</v>
      </c>
      <c r="B230" s="10" t="s">
        <v>50</v>
      </c>
      <c r="C230" s="9" t="s">
        <v>91</v>
      </c>
      <c r="D230" s="11">
        <v>11.1111</v>
      </c>
    </row>
    <row r="231" spans="1:4" x14ac:dyDescent="0.3">
      <c r="A231" s="9" t="s">
        <v>6</v>
      </c>
      <c r="B231" s="10" t="s">
        <v>50</v>
      </c>
      <c r="C231" s="9" t="s">
        <v>69</v>
      </c>
      <c r="D231" s="11">
        <v>11.1111</v>
      </c>
    </row>
    <row r="232" spans="1:4" x14ac:dyDescent="0.3">
      <c r="A232" s="9" t="s">
        <v>6</v>
      </c>
      <c r="B232" s="10" t="s">
        <v>50</v>
      </c>
      <c r="C232" s="9" t="s">
        <v>55</v>
      </c>
      <c r="D232" s="11">
        <v>11.1111</v>
      </c>
    </row>
    <row r="233" spans="1:4" x14ac:dyDescent="0.3">
      <c r="A233" s="12" t="s">
        <v>6</v>
      </c>
      <c r="B233" s="13" t="s">
        <v>60</v>
      </c>
      <c r="C233" s="12" t="s">
        <v>77</v>
      </c>
      <c r="D233" s="14">
        <v>-11.1111</v>
      </c>
    </row>
    <row r="234" spans="1:4" x14ac:dyDescent="0.3">
      <c r="A234" s="12" t="s">
        <v>6</v>
      </c>
      <c r="B234" s="13" t="s">
        <v>60</v>
      </c>
      <c r="C234" s="12" t="s">
        <v>65</v>
      </c>
      <c r="D234" s="14">
        <v>-11.1111</v>
      </c>
    </row>
    <row r="235" spans="1:4" x14ac:dyDescent="0.3">
      <c r="A235" s="12" t="s">
        <v>6</v>
      </c>
      <c r="B235" s="13" t="s">
        <v>60</v>
      </c>
      <c r="C235" s="12" t="s">
        <v>74</v>
      </c>
      <c r="D235" s="14">
        <v>-11.1111</v>
      </c>
    </row>
    <row r="236" spans="1:4" x14ac:dyDescent="0.3">
      <c r="A236" s="12" t="s">
        <v>6</v>
      </c>
      <c r="B236" s="13" t="s">
        <v>60</v>
      </c>
      <c r="C236" s="12" t="s">
        <v>105</v>
      </c>
      <c r="D236" s="14">
        <v>-11.1111</v>
      </c>
    </row>
    <row r="237" spans="1:4" x14ac:dyDescent="0.3">
      <c r="A237" s="12" t="s">
        <v>6</v>
      </c>
      <c r="B237" s="13" t="s">
        <v>60</v>
      </c>
      <c r="C237" s="12" t="s">
        <v>79</v>
      </c>
      <c r="D237" s="14">
        <v>-11.1111</v>
      </c>
    </row>
    <row r="238" spans="1:4" x14ac:dyDescent="0.3">
      <c r="A238" s="12" t="s">
        <v>6</v>
      </c>
      <c r="B238" s="13" t="s">
        <v>60</v>
      </c>
      <c r="C238" s="12" t="s">
        <v>57</v>
      </c>
      <c r="D238" s="14">
        <v>-11.1111</v>
      </c>
    </row>
    <row r="239" spans="1:4" x14ac:dyDescent="0.3">
      <c r="A239" s="12" t="s">
        <v>6</v>
      </c>
      <c r="B239" s="13" t="s">
        <v>60</v>
      </c>
      <c r="C239" s="12" t="s">
        <v>76</v>
      </c>
      <c r="D239" s="14">
        <v>-11.1111</v>
      </c>
    </row>
    <row r="240" spans="1:4" x14ac:dyDescent="0.3">
      <c r="A240" s="12" t="s">
        <v>6</v>
      </c>
      <c r="B240" s="13" t="s">
        <v>60</v>
      </c>
      <c r="C240" s="12" t="s">
        <v>93</v>
      </c>
      <c r="D240" s="14">
        <v>-11.1111</v>
      </c>
    </row>
    <row r="241" spans="1:4" x14ac:dyDescent="0.3">
      <c r="A241" s="12" t="s">
        <v>6</v>
      </c>
      <c r="B241" s="13" t="s">
        <v>60</v>
      </c>
      <c r="C241" s="12" t="s">
        <v>53</v>
      </c>
      <c r="D241" s="14">
        <v>-11.1111</v>
      </c>
    </row>
    <row r="243" spans="1:4" ht="18" customHeight="1" x14ac:dyDescent="0.3">
      <c r="A243" s="100" t="s">
        <v>110</v>
      </c>
      <c r="B243" s="88"/>
      <c r="C243" s="88"/>
      <c r="D243" s="88"/>
    </row>
    <row r="244" spans="1:4" x14ac:dyDescent="0.3">
      <c r="A244" s="9" t="s">
        <v>24</v>
      </c>
      <c r="B244" s="10" t="s">
        <v>50</v>
      </c>
      <c r="C244" s="9" t="s">
        <v>82</v>
      </c>
      <c r="D244" s="11">
        <v>11.1111</v>
      </c>
    </row>
    <row r="245" spans="1:4" x14ac:dyDescent="0.3">
      <c r="A245" s="9" t="s">
        <v>24</v>
      </c>
      <c r="B245" s="10" t="s">
        <v>50</v>
      </c>
      <c r="C245" s="9" t="s">
        <v>64</v>
      </c>
      <c r="D245" s="11">
        <v>11.1111</v>
      </c>
    </row>
    <row r="246" spans="1:4" x14ac:dyDescent="0.3">
      <c r="A246" s="9" t="s">
        <v>24</v>
      </c>
      <c r="B246" s="10" t="s">
        <v>50</v>
      </c>
      <c r="C246" s="9" t="s">
        <v>59</v>
      </c>
      <c r="D246" s="11">
        <v>11.1111</v>
      </c>
    </row>
    <row r="247" spans="1:4" x14ac:dyDescent="0.3">
      <c r="A247" s="9" t="s">
        <v>24</v>
      </c>
      <c r="B247" s="10" t="s">
        <v>50</v>
      </c>
      <c r="C247" s="9" t="s">
        <v>89</v>
      </c>
      <c r="D247" s="11">
        <v>11.1111</v>
      </c>
    </row>
    <row r="248" spans="1:4" x14ac:dyDescent="0.3">
      <c r="A248" s="9" t="s">
        <v>24</v>
      </c>
      <c r="B248" s="10" t="s">
        <v>50</v>
      </c>
      <c r="C248" s="9" t="s">
        <v>72</v>
      </c>
      <c r="D248" s="11">
        <v>11.1111</v>
      </c>
    </row>
    <row r="249" spans="1:4" x14ac:dyDescent="0.3">
      <c r="A249" s="9" t="s">
        <v>24</v>
      </c>
      <c r="B249" s="10" t="s">
        <v>50</v>
      </c>
      <c r="C249" s="9" t="s">
        <v>103</v>
      </c>
      <c r="D249" s="11">
        <v>11.1111</v>
      </c>
    </row>
    <row r="250" spans="1:4" x14ac:dyDescent="0.3">
      <c r="A250" s="9" t="s">
        <v>24</v>
      </c>
      <c r="B250" s="10" t="s">
        <v>50</v>
      </c>
      <c r="C250" s="9" t="s">
        <v>81</v>
      </c>
      <c r="D250" s="11">
        <v>11.1111</v>
      </c>
    </row>
    <row r="251" spans="1:4" x14ac:dyDescent="0.3">
      <c r="A251" s="9" t="s">
        <v>24</v>
      </c>
      <c r="B251" s="10" t="s">
        <v>50</v>
      </c>
      <c r="C251" s="9" t="s">
        <v>54</v>
      </c>
      <c r="D251" s="11">
        <v>11.1111</v>
      </c>
    </row>
    <row r="252" spans="1:4" x14ac:dyDescent="0.3">
      <c r="A252" s="9" t="s">
        <v>24</v>
      </c>
      <c r="B252" s="10" t="s">
        <v>50</v>
      </c>
      <c r="C252" s="9" t="s">
        <v>68</v>
      </c>
      <c r="D252" s="11">
        <v>11.1111</v>
      </c>
    </row>
    <row r="253" spans="1:4" x14ac:dyDescent="0.3">
      <c r="A253" s="12" t="s">
        <v>24</v>
      </c>
      <c r="B253" s="13" t="s">
        <v>60</v>
      </c>
      <c r="C253" s="12" t="s">
        <v>73</v>
      </c>
      <c r="D253" s="14">
        <v>-11.1111</v>
      </c>
    </row>
    <row r="254" spans="1:4" x14ac:dyDescent="0.3">
      <c r="A254" s="12" t="s">
        <v>24</v>
      </c>
      <c r="B254" s="13" t="s">
        <v>60</v>
      </c>
      <c r="C254" s="12" t="s">
        <v>75</v>
      </c>
      <c r="D254" s="14">
        <v>-11.1111</v>
      </c>
    </row>
    <row r="255" spans="1:4" x14ac:dyDescent="0.3">
      <c r="A255" s="12" t="s">
        <v>24</v>
      </c>
      <c r="B255" s="13" t="s">
        <v>60</v>
      </c>
      <c r="C255" s="12" t="s">
        <v>105</v>
      </c>
      <c r="D255" s="14">
        <v>-11.1111</v>
      </c>
    </row>
    <row r="256" spans="1:4" x14ac:dyDescent="0.3">
      <c r="A256" s="12" t="s">
        <v>24</v>
      </c>
      <c r="B256" s="13" t="s">
        <v>60</v>
      </c>
      <c r="C256" s="12" t="s">
        <v>61</v>
      </c>
      <c r="D256" s="14">
        <v>-11.1111</v>
      </c>
    </row>
    <row r="257" spans="1:4" x14ac:dyDescent="0.3">
      <c r="A257" s="12" t="s">
        <v>24</v>
      </c>
      <c r="B257" s="13" t="s">
        <v>60</v>
      </c>
      <c r="C257" s="12" t="s">
        <v>102</v>
      </c>
      <c r="D257" s="14">
        <v>-11.1111</v>
      </c>
    </row>
    <row r="258" spans="1:4" x14ac:dyDescent="0.3">
      <c r="A258" s="12" t="s">
        <v>24</v>
      </c>
      <c r="B258" s="13" t="s">
        <v>60</v>
      </c>
      <c r="C258" s="12" t="s">
        <v>78</v>
      </c>
      <c r="D258" s="14">
        <v>-11.1111</v>
      </c>
    </row>
    <row r="259" spans="1:4" x14ac:dyDescent="0.3">
      <c r="A259" s="12" t="s">
        <v>24</v>
      </c>
      <c r="B259" s="13" t="s">
        <v>60</v>
      </c>
      <c r="C259" s="12" t="s">
        <v>74</v>
      </c>
      <c r="D259" s="14">
        <v>-11.1111</v>
      </c>
    </row>
    <row r="260" spans="1:4" x14ac:dyDescent="0.3">
      <c r="A260" s="12" t="s">
        <v>24</v>
      </c>
      <c r="B260" s="13" t="s">
        <v>60</v>
      </c>
      <c r="C260" s="12" t="s">
        <v>53</v>
      </c>
      <c r="D260" s="14">
        <v>-11.1111</v>
      </c>
    </row>
    <row r="261" spans="1:4" x14ac:dyDescent="0.3">
      <c r="A261" s="12" t="s">
        <v>24</v>
      </c>
      <c r="B261" s="13" t="s">
        <v>60</v>
      </c>
      <c r="C261" s="12" t="s">
        <v>93</v>
      </c>
      <c r="D261" s="14">
        <v>-11.1111</v>
      </c>
    </row>
  </sheetData>
  <mergeCells count="14">
    <mergeCell ref="A163:D163"/>
    <mergeCell ref="A3:D3"/>
    <mergeCell ref="A223:D223"/>
    <mergeCell ref="A43:D43"/>
    <mergeCell ref="A243:D243"/>
    <mergeCell ref="A183:D183"/>
    <mergeCell ref="A63:D63"/>
    <mergeCell ref="A123:D123"/>
    <mergeCell ref="A203:D203"/>
    <mergeCell ref="A1:D1"/>
    <mergeCell ref="A103:D103"/>
    <mergeCell ref="A23:D23"/>
    <mergeCell ref="A83:D83"/>
    <mergeCell ref="A143:D14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2"/>
  <sheetViews>
    <sheetView showGridLines="0" workbookViewId="0"/>
  </sheetViews>
  <sheetFormatPr baseColWidth="10" defaultColWidth="8.88671875" defaultRowHeight="14.4" x14ac:dyDescent="0.3"/>
  <cols>
    <col min="1" max="1" width="14" customWidth="1"/>
    <col min="2" max="2" width="16" customWidth="1"/>
    <col min="3" max="3" width="8" customWidth="1"/>
    <col min="4" max="4" width="9" customWidth="1"/>
    <col min="5" max="17" width="14" customWidth="1"/>
  </cols>
  <sheetData>
    <row r="1" spans="1:18" ht="34.950000000000003" customHeight="1" x14ac:dyDescent="0.3">
      <c r="A1" s="94" t="s">
        <v>111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</row>
    <row r="2" spans="1:18" x14ac:dyDescent="0.3">
      <c r="A2" s="103" t="s">
        <v>112</v>
      </c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</row>
    <row r="3" spans="1:18" ht="30" customHeight="1" x14ac:dyDescent="0.3">
      <c r="A3" s="15" t="s">
        <v>47</v>
      </c>
      <c r="B3" s="15" t="s">
        <v>113</v>
      </c>
      <c r="C3" s="15" t="s">
        <v>114</v>
      </c>
      <c r="D3" s="15" t="s">
        <v>115</v>
      </c>
      <c r="E3" s="15" t="s">
        <v>8</v>
      </c>
      <c r="F3" s="15" t="s">
        <v>26</v>
      </c>
      <c r="G3" s="15" t="s">
        <v>19</v>
      </c>
      <c r="H3" s="15" t="s">
        <v>15</v>
      </c>
      <c r="I3" s="15" t="s">
        <v>16</v>
      </c>
      <c r="J3" s="15" t="s">
        <v>12</v>
      </c>
      <c r="K3" s="15" t="s">
        <v>17</v>
      </c>
      <c r="L3" s="15" t="s">
        <v>22</v>
      </c>
      <c r="M3" s="15" t="s">
        <v>14</v>
      </c>
      <c r="N3" s="15" t="s">
        <v>10</v>
      </c>
      <c r="O3" s="15" t="s">
        <v>20</v>
      </c>
      <c r="P3" s="15" t="s">
        <v>6</v>
      </c>
      <c r="Q3" s="15" t="s">
        <v>24</v>
      </c>
    </row>
    <row r="4" spans="1:18" ht="16.05" customHeight="1" x14ac:dyDescent="0.3">
      <c r="A4" s="16"/>
      <c r="B4" s="16"/>
      <c r="C4" s="16"/>
      <c r="D4" s="16"/>
      <c r="E4" s="17" t="s">
        <v>116</v>
      </c>
      <c r="F4" s="17" t="s">
        <v>117</v>
      </c>
      <c r="G4" s="17" t="s">
        <v>118</v>
      </c>
      <c r="H4" s="17" t="s">
        <v>119</v>
      </c>
      <c r="I4" s="17" t="s">
        <v>120</v>
      </c>
      <c r="J4" s="17" t="s">
        <v>121</v>
      </c>
      <c r="K4" s="17" t="s">
        <v>122</v>
      </c>
      <c r="L4" s="17" t="s">
        <v>123</v>
      </c>
      <c r="M4" s="17" t="s">
        <v>124</v>
      </c>
      <c r="N4" s="17" t="s">
        <v>125</v>
      </c>
      <c r="O4" s="17" t="s">
        <v>118</v>
      </c>
      <c r="P4" s="17" t="s">
        <v>126</v>
      </c>
      <c r="Q4" s="17" t="s">
        <v>127</v>
      </c>
    </row>
    <row r="5" spans="1:18" x14ac:dyDescent="0.3">
      <c r="A5" s="18" t="s">
        <v>54</v>
      </c>
      <c r="B5" s="19">
        <v>6.0868000000000002</v>
      </c>
      <c r="C5" s="20">
        <v>8</v>
      </c>
      <c r="D5" s="21">
        <v>0</v>
      </c>
      <c r="E5" s="22">
        <v>1.4562999999999999</v>
      </c>
      <c r="F5" s="22">
        <v>0.4461</v>
      </c>
      <c r="G5" s="22">
        <v>0.63739999999999997</v>
      </c>
      <c r="H5" s="23"/>
      <c r="I5" s="22">
        <v>0.70009999999999994</v>
      </c>
      <c r="J5" s="22">
        <v>1.0663</v>
      </c>
      <c r="K5" s="22">
        <v>0.6462</v>
      </c>
      <c r="L5" s="23"/>
      <c r="M5" s="23"/>
      <c r="N5" s="23"/>
      <c r="O5" s="22">
        <v>0.63109999999999999</v>
      </c>
      <c r="P5" s="23"/>
      <c r="Q5" s="22">
        <v>0.50329999999999997</v>
      </c>
    </row>
    <row r="6" spans="1:18" x14ac:dyDescent="0.3">
      <c r="A6" s="18" t="s">
        <v>67</v>
      </c>
      <c r="B6" s="19">
        <v>5.8221999999999996</v>
      </c>
      <c r="C6" s="20">
        <v>8</v>
      </c>
      <c r="D6" s="21">
        <v>1</v>
      </c>
      <c r="E6" s="24">
        <v>-1.4562999999999999</v>
      </c>
      <c r="F6" s="22">
        <v>0.4461</v>
      </c>
      <c r="G6" s="23"/>
      <c r="H6" s="22">
        <v>0.72319999999999995</v>
      </c>
      <c r="I6" s="22">
        <v>0.70009999999999994</v>
      </c>
      <c r="J6" s="22">
        <v>1.0663</v>
      </c>
      <c r="K6" s="22">
        <v>0.6462</v>
      </c>
      <c r="L6" s="23"/>
      <c r="M6" s="22">
        <v>0.83589999999999998</v>
      </c>
      <c r="N6" s="22">
        <v>1.0773999999999999</v>
      </c>
      <c r="O6" s="23"/>
      <c r="P6" s="22">
        <v>1.7831999999999999</v>
      </c>
      <c r="Q6" s="23"/>
    </row>
    <row r="7" spans="1:18" x14ac:dyDescent="0.3">
      <c r="A7" s="18" t="s">
        <v>59</v>
      </c>
      <c r="B7" s="19">
        <v>4.9368999999999996</v>
      </c>
      <c r="C7" s="20">
        <v>9</v>
      </c>
      <c r="D7" s="21">
        <v>2</v>
      </c>
      <c r="E7" s="22">
        <v>1.4562999999999999</v>
      </c>
      <c r="F7" s="22">
        <v>0.4461</v>
      </c>
      <c r="G7" s="22">
        <v>0.63739999999999997</v>
      </c>
      <c r="H7" s="22">
        <v>0.72319999999999995</v>
      </c>
      <c r="I7" s="24">
        <v>-0.70009999999999994</v>
      </c>
      <c r="J7" s="22">
        <v>1.0663</v>
      </c>
      <c r="K7" s="22">
        <v>0.6462</v>
      </c>
      <c r="L7" s="22">
        <v>0.60450000000000004</v>
      </c>
      <c r="M7" s="23"/>
      <c r="N7" s="24">
        <v>-1.0773999999999999</v>
      </c>
      <c r="O7" s="22">
        <v>0.63109999999999999</v>
      </c>
      <c r="P7" s="23"/>
      <c r="Q7" s="22">
        <v>0.50329999999999997</v>
      </c>
    </row>
    <row r="8" spans="1:18" x14ac:dyDescent="0.3">
      <c r="A8" s="18" t="s">
        <v>71</v>
      </c>
      <c r="B8" s="19">
        <v>3.9361000000000002</v>
      </c>
      <c r="C8" s="20">
        <v>5</v>
      </c>
      <c r="D8" s="21">
        <v>0</v>
      </c>
      <c r="E8" s="23"/>
      <c r="F8" s="22">
        <v>0.4461</v>
      </c>
      <c r="G8" s="23"/>
      <c r="H8" s="23"/>
      <c r="I8" s="22">
        <v>0.70009999999999994</v>
      </c>
      <c r="J8" s="22">
        <v>1.0663</v>
      </c>
      <c r="K8" s="22">
        <v>0.6462</v>
      </c>
      <c r="L8" s="23"/>
      <c r="M8" s="23"/>
      <c r="N8" s="22">
        <v>1.0773999999999999</v>
      </c>
      <c r="O8" s="23"/>
      <c r="P8" s="23"/>
      <c r="Q8" s="23"/>
    </row>
    <row r="9" spans="1:18" x14ac:dyDescent="0.3">
      <c r="A9" s="18" t="s">
        <v>57</v>
      </c>
      <c r="B9" s="19">
        <v>2.8060999999999998</v>
      </c>
      <c r="C9" s="20">
        <v>7</v>
      </c>
      <c r="D9" s="21">
        <v>3</v>
      </c>
      <c r="E9" s="22">
        <v>1.4562999999999999</v>
      </c>
      <c r="F9" s="22">
        <v>0.4461</v>
      </c>
      <c r="G9" s="22">
        <v>0.63739999999999997</v>
      </c>
      <c r="H9" s="23"/>
      <c r="I9" s="22">
        <v>0.70009999999999994</v>
      </c>
      <c r="J9" s="22">
        <v>1.0663</v>
      </c>
      <c r="K9" s="22">
        <v>0.6462</v>
      </c>
      <c r="L9" s="24">
        <v>-0.60450000000000004</v>
      </c>
      <c r="M9" s="24">
        <v>-0.83589999999999998</v>
      </c>
      <c r="N9" s="22">
        <v>1.0773999999999999</v>
      </c>
      <c r="O9" s="23"/>
      <c r="P9" s="24">
        <v>-1.7831999999999999</v>
      </c>
      <c r="Q9" s="23"/>
    </row>
    <row r="10" spans="1:18" x14ac:dyDescent="0.3">
      <c r="A10" s="18" t="s">
        <v>72</v>
      </c>
      <c r="B10" s="19">
        <v>2.5265</v>
      </c>
      <c r="C10" s="20">
        <v>7</v>
      </c>
      <c r="D10" s="21">
        <v>4</v>
      </c>
      <c r="E10" s="23"/>
      <c r="F10" s="22">
        <v>0.4461</v>
      </c>
      <c r="G10" s="22">
        <v>0.63739999999999997</v>
      </c>
      <c r="H10" s="24">
        <v>-0.72319999999999995</v>
      </c>
      <c r="I10" s="22">
        <v>0.70009999999999994</v>
      </c>
      <c r="J10" s="22">
        <v>1.0663</v>
      </c>
      <c r="K10" s="23"/>
      <c r="L10" s="24">
        <v>-0.60450000000000004</v>
      </c>
      <c r="M10" s="24">
        <v>-0.83589999999999998</v>
      </c>
      <c r="N10" s="24">
        <v>-1.0773999999999999</v>
      </c>
      <c r="O10" s="22">
        <v>0.63109999999999999</v>
      </c>
      <c r="P10" s="22">
        <v>1.7831999999999999</v>
      </c>
      <c r="Q10" s="22">
        <v>0.50329999999999997</v>
      </c>
    </row>
    <row r="11" spans="1:18" x14ac:dyDescent="0.3">
      <c r="A11" s="18" t="s">
        <v>103</v>
      </c>
      <c r="B11" s="19">
        <v>2.5179999999999998</v>
      </c>
      <c r="C11" s="20">
        <v>3</v>
      </c>
      <c r="D11" s="21">
        <v>1</v>
      </c>
      <c r="E11" s="23"/>
      <c r="F11" s="23"/>
      <c r="G11" s="23"/>
      <c r="H11" s="23"/>
      <c r="I11" s="23"/>
      <c r="J11" s="23"/>
      <c r="K11" s="23"/>
      <c r="L11" s="24">
        <v>-0.60450000000000004</v>
      </c>
      <c r="M11" s="22">
        <v>0.83589999999999998</v>
      </c>
      <c r="N11" s="23"/>
      <c r="O11" s="23"/>
      <c r="P11" s="22">
        <v>1.7831999999999999</v>
      </c>
      <c r="Q11" s="22">
        <v>0.50329999999999997</v>
      </c>
    </row>
    <row r="12" spans="1:18" x14ac:dyDescent="0.3">
      <c r="A12" s="18" t="s">
        <v>62</v>
      </c>
      <c r="B12" s="19">
        <v>2.1852</v>
      </c>
      <c r="C12" s="20">
        <v>6</v>
      </c>
      <c r="D12" s="21">
        <v>4</v>
      </c>
      <c r="E12" s="24">
        <v>-1.4562999999999999</v>
      </c>
      <c r="F12" s="22">
        <v>0.4461</v>
      </c>
      <c r="G12" s="24">
        <v>-0.63739999999999997</v>
      </c>
      <c r="H12" s="23"/>
      <c r="I12" s="22">
        <v>0.70009999999999994</v>
      </c>
      <c r="J12" s="22">
        <v>1.0663</v>
      </c>
      <c r="K12" s="22">
        <v>0.6462</v>
      </c>
      <c r="L12" s="24">
        <v>-0.60450000000000004</v>
      </c>
      <c r="M12" s="24">
        <v>-0.83589999999999998</v>
      </c>
      <c r="N12" s="22">
        <v>1.0773999999999999</v>
      </c>
      <c r="O12" s="23"/>
      <c r="P12" s="22">
        <v>1.7831999999999999</v>
      </c>
      <c r="Q12" s="23"/>
    </row>
    <row r="13" spans="1:18" x14ac:dyDescent="0.3">
      <c r="A13" s="18" t="s">
        <v>68</v>
      </c>
      <c r="B13" s="19">
        <v>2.0123000000000002</v>
      </c>
      <c r="C13" s="20">
        <v>6</v>
      </c>
      <c r="D13" s="21">
        <v>1</v>
      </c>
      <c r="E13" s="24">
        <v>-1.4562999999999999</v>
      </c>
      <c r="F13" s="22">
        <v>0.4461</v>
      </c>
      <c r="G13" s="22">
        <v>0.63739999999999997</v>
      </c>
      <c r="H13" s="23"/>
      <c r="I13" s="23"/>
      <c r="J13" s="23"/>
      <c r="K13" s="22">
        <v>0.6462</v>
      </c>
      <c r="L13" s="22">
        <v>0.60450000000000004</v>
      </c>
      <c r="M13" s="23"/>
      <c r="N13" s="23"/>
      <c r="O13" s="22">
        <v>0.63109999999999999</v>
      </c>
      <c r="P13" s="23"/>
      <c r="Q13" s="22">
        <v>0.50329999999999997</v>
      </c>
    </row>
    <row r="14" spans="1:18" x14ac:dyDescent="0.3">
      <c r="A14" s="18" t="s">
        <v>84</v>
      </c>
      <c r="B14" s="19">
        <v>1.7745</v>
      </c>
      <c r="C14" s="20">
        <v>2</v>
      </c>
      <c r="D14" s="21">
        <v>1</v>
      </c>
      <c r="E14" s="23"/>
      <c r="F14" s="23"/>
      <c r="G14" s="22">
        <v>0.63739999999999997</v>
      </c>
      <c r="H14" s="23"/>
      <c r="I14" s="23"/>
      <c r="J14" s="23"/>
      <c r="K14" s="24">
        <v>-0.6462</v>
      </c>
      <c r="L14" s="23"/>
      <c r="M14" s="23"/>
      <c r="N14" s="23"/>
      <c r="O14" s="23"/>
      <c r="P14" s="22">
        <v>1.7831999999999999</v>
      </c>
      <c r="Q14" s="23"/>
    </row>
    <row r="15" spans="1:18" x14ac:dyDescent="0.3">
      <c r="A15" s="18" t="s">
        <v>89</v>
      </c>
      <c r="B15" s="19">
        <v>1.6272</v>
      </c>
      <c r="C15" s="20">
        <v>4</v>
      </c>
      <c r="D15" s="21">
        <v>1</v>
      </c>
      <c r="E15" s="23"/>
      <c r="F15" s="23"/>
      <c r="G15" s="23"/>
      <c r="H15" s="22">
        <v>0.72319999999999995</v>
      </c>
      <c r="I15" s="23"/>
      <c r="J15" s="24">
        <v>-1.0663</v>
      </c>
      <c r="K15" s="23"/>
      <c r="L15" s="23"/>
      <c r="M15" s="22">
        <v>0.83589999999999998</v>
      </c>
      <c r="N15" s="23"/>
      <c r="O15" s="22">
        <v>0.63109999999999999</v>
      </c>
      <c r="P15" s="23"/>
      <c r="Q15" s="22">
        <v>0.50329999999999997</v>
      </c>
    </row>
    <row r="16" spans="1:18" x14ac:dyDescent="0.3">
      <c r="A16" s="18" t="s">
        <v>81</v>
      </c>
      <c r="B16" s="19">
        <v>1.5820000000000001</v>
      </c>
      <c r="C16" s="20">
        <v>4</v>
      </c>
      <c r="D16" s="21">
        <v>1</v>
      </c>
      <c r="E16" s="23"/>
      <c r="F16" s="23"/>
      <c r="G16" s="22">
        <v>0.63739999999999997</v>
      </c>
      <c r="H16" s="23"/>
      <c r="I16" s="23"/>
      <c r="J16" s="23"/>
      <c r="K16" s="22">
        <v>0.6462</v>
      </c>
      <c r="L16" s="23"/>
      <c r="M16" s="24">
        <v>-0.83589999999999998</v>
      </c>
      <c r="N16" s="23"/>
      <c r="O16" s="22">
        <v>0.63109999999999999</v>
      </c>
      <c r="P16" s="23"/>
      <c r="Q16" s="22">
        <v>0.50329999999999997</v>
      </c>
    </row>
    <row r="17" spans="1:17" x14ac:dyDescent="0.3">
      <c r="A17" s="18" t="s">
        <v>52</v>
      </c>
      <c r="B17" s="19">
        <v>1.5592999999999999</v>
      </c>
      <c r="C17" s="20">
        <v>3</v>
      </c>
      <c r="D17" s="21">
        <v>2</v>
      </c>
      <c r="E17" s="22">
        <v>1.4562999999999999</v>
      </c>
      <c r="F17" s="23"/>
      <c r="G17" s="24">
        <v>-0.63739999999999997</v>
      </c>
      <c r="H17" s="23"/>
      <c r="I17" s="24">
        <v>-0.70009999999999994</v>
      </c>
      <c r="J17" s="23"/>
      <c r="K17" s="23"/>
      <c r="L17" s="22">
        <v>0.60450000000000004</v>
      </c>
      <c r="M17" s="22">
        <v>0.83589999999999998</v>
      </c>
      <c r="N17" s="23"/>
      <c r="O17" s="23"/>
      <c r="P17" s="23"/>
      <c r="Q17" s="23"/>
    </row>
    <row r="18" spans="1:17" x14ac:dyDescent="0.3">
      <c r="A18" s="18" t="s">
        <v>91</v>
      </c>
      <c r="B18" s="19">
        <v>1.4400999999999999</v>
      </c>
      <c r="C18" s="20">
        <v>2</v>
      </c>
      <c r="D18" s="21">
        <v>1</v>
      </c>
      <c r="E18" s="23"/>
      <c r="F18" s="23"/>
      <c r="G18" s="23"/>
      <c r="H18" s="22">
        <v>0.72319999999999995</v>
      </c>
      <c r="I18" s="23"/>
      <c r="J18" s="24">
        <v>-1.0663</v>
      </c>
      <c r="K18" s="23"/>
      <c r="L18" s="23"/>
      <c r="M18" s="23"/>
      <c r="N18" s="23"/>
      <c r="O18" s="23"/>
      <c r="P18" s="22">
        <v>1.7831999999999999</v>
      </c>
      <c r="Q18" s="23"/>
    </row>
    <row r="19" spans="1:17" x14ac:dyDescent="0.3">
      <c r="A19" s="18" t="s">
        <v>99</v>
      </c>
      <c r="B19" s="19">
        <v>1.2506999999999999</v>
      </c>
      <c r="C19" s="20">
        <v>2</v>
      </c>
      <c r="D19" s="21">
        <v>0</v>
      </c>
      <c r="E19" s="23"/>
      <c r="F19" s="23"/>
      <c r="G19" s="23"/>
      <c r="H19" s="23"/>
      <c r="I19" s="23"/>
      <c r="J19" s="23"/>
      <c r="K19" s="22">
        <v>0.6462</v>
      </c>
      <c r="L19" s="22">
        <v>0.60450000000000004</v>
      </c>
      <c r="M19" s="23"/>
      <c r="N19" s="23"/>
      <c r="O19" s="23"/>
      <c r="P19" s="23"/>
      <c r="Q19" s="23"/>
    </row>
    <row r="20" spans="1:17" x14ac:dyDescent="0.3">
      <c r="A20" s="18" t="s">
        <v>107</v>
      </c>
      <c r="B20" s="19">
        <v>1.0773999999999999</v>
      </c>
      <c r="C20" s="20">
        <v>1</v>
      </c>
      <c r="D20" s="21">
        <v>0</v>
      </c>
      <c r="E20" s="23"/>
      <c r="F20" s="23"/>
      <c r="G20" s="23"/>
      <c r="H20" s="23"/>
      <c r="I20" s="23"/>
      <c r="J20" s="23"/>
      <c r="K20" s="23"/>
      <c r="L20" s="23"/>
      <c r="M20" s="23"/>
      <c r="N20" s="22">
        <v>1.0773999999999999</v>
      </c>
      <c r="O20" s="23"/>
      <c r="P20" s="23"/>
      <c r="Q20" s="23"/>
    </row>
    <row r="21" spans="1:17" x14ac:dyDescent="0.3">
      <c r="A21" s="18" t="s">
        <v>88</v>
      </c>
      <c r="B21" s="19">
        <v>0.49280000000000002</v>
      </c>
      <c r="C21" s="20">
        <v>2</v>
      </c>
      <c r="D21" s="21">
        <v>1</v>
      </c>
      <c r="E21" s="23"/>
      <c r="F21" s="23"/>
      <c r="G21" s="23"/>
      <c r="H21" s="22">
        <v>0.72319999999999995</v>
      </c>
      <c r="I21" s="23"/>
      <c r="J21" s="24">
        <v>-1.0663</v>
      </c>
      <c r="K21" s="23"/>
      <c r="L21" s="23"/>
      <c r="M21" s="22">
        <v>0.83589999999999998</v>
      </c>
      <c r="N21" s="23"/>
      <c r="O21" s="23"/>
      <c r="P21" s="23"/>
      <c r="Q21" s="23"/>
    </row>
    <row r="22" spans="1:17" x14ac:dyDescent="0.3">
      <c r="A22" s="18" t="s">
        <v>82</v>
      </c>
      <c r="B22" s="19">
        <v>0.4345</v>
      </c>
      <c r="C22" s="20">
        <v>4</v>
      </c>
      <c r="D22" s="21">
        <v>3</v>
      </c>
      <c r="E22" s="23"/>
      <c r="F22" s="23"/>
      <c r="G22" s="22">
        <v>0.63739999999999997</v>
      </c>
      <c r="H22" s="22">
        <v>0.72319999999999995</v>
      </c>
      <c r="I22" s="23"/>
      <c r="J22" s="24">
        <v>-1.0663</v>
      </c>
      <c r="K22" s="23"/>
      <c r="L22" s="24">
        <v>-0.60450000000000004</v>
      </c>
      <c r="M22" s="24">
        <v>-0.83589999999999998</v>
      </c>
      <c r="N22" s="22">
        <v>1.0773999999999999</v>
      </c>
      <c r="O22" s="23"/>
      <c r="P22" s="23"/>
      <c r="Q22" s="22">
        <v>0.50329999999999997</v>
      </c>
    </row>
    <row r="23" spans="1:17" x14ac:dyDescent="0.3">
      <c r="A23" s="18" t="s">
        <v>53</v>
      </c>
      <c r="B23" s="19">
        <v>0.38300000000000001</v>
      </c>
      <c r="C23" s="20">
        <v>3</v>
      </c>
      <c r="D23" s="21">
        <v>3</v>
      </c>
      <c r="E23" s="22">
        <v>1.4562999999999999</v>
      </c>
      <c r="F23" s="23"/>
      <c r="G23" s="23"/>
      <c r="H23" s="23"/>
      <c r="I23" s="24">
        <v>-0.70009999999999994</v>
      </c>
      <c r="J23" s="23"/>
      <c r="K23" s="23"/>
      <c r="L23" s="23"/>
      <c r="M23" s="22">
        <v>0.83589999999999998</v>
      </c>
      <c r="N23" s="22">
        <v>1.0773999999999999</v>
      </c>
      <c r="O23" s="23"/>
      <c r="P23" s="24">
        <v>-1.7831999999999999</v>
      </c>
      <c r="Q23" s="24">
        <v>-0.50329999999999997</v>
      </c>
    </row>
    <row r="24" spans="1:17" x14ac:dyDescent="0.3">
      <c r="A24" s="18" t="s">
        <v>55</v>
      </c>
      <c r="B24" s="19">
        <v>0.19589999999999999</v>
      </c>
      <c r="C24" s="20">
        <v>2</v>
      </c>
      <c r="D24" s="21">
        <v>4</v>
      </c>
      <c r="E24" s="22">
        <v>1.4562999999999999</v>
      </c>
      <c r="F24" s="23"/>
      <c r="G24" s="23"/>
      <c r="H24" s="23"/>
      <c r="I24" s="24">
        <v>-0.70009999999999994</v>
      </c>
      <c r="J24" s="24">
        <v>-1.0663</v>
      </c>
      <c r="K24" s="24">
        <v>-0.6462</v>
      </c>
      <c r="L24" s="23"/>
      <c r="M24" s="23"/>
      <c r="N24" s="23"/>
      <c r="O24" s="24">
        <v>-0.63109999999999999</v>
      </c>
      <c r="P24" s="22">
        <v>1.7831999999999999</v>
      </c>
      <c r="Q24" s="23"/>
    </row>
    <row r="25" spans="1:17" x14ac:dyDescent="0.3">
      <c r="A25" s="18" t="s">
        <v>58</v>
      </c>
      <c r="B25" s="19">
        <v>0.14530000000000001</v>
      </c>
      <c r="C25" s="20">
        <v>2</v>
      </c>
      <c r="D25" s="21">
        <v>3</v>
      </c>
      <c r="E25" s="22">
        <v>1.4562999999999999</v>
      </c>
      <c r="F25" s="23"/>
      <c r="G25" s="24">
        <v>-0.63739999999999997</v>
      </c>
      <c r="H25" s="23"/>
      <c r="I25" s="24">
        <v>-0.70009999999999994</v>
      </c>
      <c r="J25" s="23"/>
      <c r="K25" s="23"/>
      <c r="L25" s="24">
        <v>-0.60450000000000004</v>
      </c>
      <c r="M25" s="23"/>
      <c r="N25" s="23"/>
      <c r="O25" s="22">
        <v>0.63109999999999999</v>
      </c>
      <c r="P25" s="23"/>
      <c r="Q25" s="23"/>
    </row>
    <row r="26" spans="1:17" x14ac:dyDescent="0.3">
      <c r="A26" s="18" t="s">
        <v>51</v>
      </c>
      <c r="B26" s="19">
        <v>9.5699999999999993E-2</v>
      </c>
      <c r="C26" s="20">
        <v>1</v>
      </c>
      <c r="D26" s="21">
        <v>2</v>
      </c>
      <c r="E26" s="22">
        <v>1.4562999999999999</v>
      </c>
      <c r="F26" s="23"/>
      <c r="G26" s="24">
        <v>-0.63739999999999997</v>
      </c>
      <c r="H26" s="24">
        <v>-0.72319999999999995</v>
      </c>
      <c r="I26" s="23"/>
      <c r="J26" s="23"/>
      <c r="K26" s="23"/>
      <c r="L26" s="23"/>
      <c r="M26" s="23"/>
      <c r="N26" s="23"/>
      <c r="O26" s="23"/>
      <c r="P26" s="23"/>
      <c r="Q26" s="23"/>
    </row>
    <row r="27" spans="1:17" x14ac:dyDescent="0.3">
      <c r="A27" s="18" t="s">
        <v>66</v>
      </c>
      <c r="B27" s="19">
        <v>3.9E-2</v>
      </c>
      <c r="C27" s="20">
        <v>4</v>
      </c>
      <c r="D27" s="21">
        <v>3</v>
      </c>
      <c r="E27" s="24">
        <v>-1.4562999999999999</v>
      </c>
      <c r="F27" s="22">
        <v>0.4461</v>
      </c>
      <c r="G27" s="23"/>
      <c r="H27" s="22">
        <v>0.72319999999999995</v>
      </c>
      <c r="I27" s="22">
        <v>0.70009999999999994</v>
      </c>
      <c r="J27" s="22">
        <v>1.0663</v>
      </c>
      <c r="K27" s="23"/>
      <c r="L27" s="24">
        <v>-0.60450000000000004</v>
      </c>
      <c r="M27" s="24">
        <v>-0.83589999999999998</v>
      </c>
      <c r="N27" s="23"/>
      <c r="O27" s="23"/>
      <c r="P27" s="23"/>
      <c r="Q27" s="23"/>
    </row>
    <row r="28" spans="1:17" x14ac:dyDescent="0.3">
      <c r="A28" s="18" t="s">
        <v>95</v>
      </c>
      <c r="B28" s="19">
        <v>5.7999999999999996E-3</v>
      </c>
      <c r="C28" s="20">
        <v>1</v>
      </c>
      <c r="D28" s="21">
        <v>2</v>
      </c>
      <c r="E28" s="23"/>
      <c r="F28" s="23"/>
      <c r="G28" s="23"/>
      <c r="H28" s="23"/>
      <c r="I28" s="24">
        <v>-0.70009999999999994</v>
      </c>
      <c r="J28" s="23"/>
      <c r="K28" s="23"/>
      <c r="L28" s="23"/>
      <c r="M28" s="23"/>
      <c r="N28" s="24">
        <v>-1.0773999999999999</v>
      </c>
      <c r="O28" s="23"/>
      <c r="P28" s="22">
        <v>1.7831999999999999</v>
      </c>
      <c r="Q28" s="23"/>
    </row>
    <row r="29" spans="1:17" x14ac:dyDescent="0.3">
      <c r="A29" s="25" t="s">
        <v>83</v>
      </c>
      <c r="B29" s="26">
        <v>-8.5800000000000001E-2</v>
      </c>
      <c r="C29" s="27">
        <v>1</v>
      </c>
      <c r="D29" s="28">
        <v>1</v>
      </c>
      <c r="E29" s="29"/>
      <c r="F29" s="29"/>
      <c r="G29" s="30">
        <v>0.63739999999999997</v>
      </c>
      <c r="H29" s="31">
        <v>-0.72319999999999995</v>
      </c>
      <c r="I29" s="29"/>
      <c r="J29" s="29"/>
      <c r="K29" s="29"/>
      <c r="L29" s="29"/>
      <c r="M29" s="29"/>
      <c r="N29" s="29"/>
      <c r="O29" s="29"/>
      <c r="P29" s="29"/>
      <c r="Q29" s="29"/>
    </row>
    <row r="30" spans="1:17" x14ac:dyDescent="0.3">
      <c r="A30" s="25" t="s">
        <v>64</v>
      </c>
      <c r="B30" s="26">
        <v>-0.25290000000000001</v>
      </c>
      <c r="C30" s="27">
        <v>2</v>
      </c>
      <c r="D30" s="28">
        <v>1</v>
      </c>
      <c r="E30" s="31">
        <v>-1.4562999999999999</v>
      </c>
      <c r="F30" s="29"/>
      <c r="G30" s="29"/>
      <c r="H30" s="29"/>
      <c r="I30" s="30">
        <v>0.70009999999999994</v>
      </c>
      <c r="J30" s="29"/>
      <c r="K30" s="29"/>
      <c r="L30" s="29"/>
      <c r="M30" s="29"/>
      <c r="N30" s="29"/>
      <c r="O30" s="29"/>
      <c r="P30" s="29"/>
      <c r="Q30" s="30">
        <v>0.50329999999999997</v>
      </c>
    </row>
    <row r="31" spans="1:17" x14ac:dyDescent="0.3">
      <c r="A31" s="25" t="s">
        <v>85</v>
      </c>
      <c r="B31" s="26">
        <v>-0.63739999999999997</v>
      </c>
      <c r="C31" s="27">
        <v>0</v>
      </c>
      <c r="D31" s="28">
        <v>1</v>
      </c>
      <c r="E31" s="29"/>
      <c r="F31" s="29"/>
      <c r="G31" s="31">
        <v>-0.63739999999999997</v>
      </c>
      <c r="H31" s="29"/>
      <c r="I31" s="29"/>
      <c r="J31" s="29"/>
      <c r="K31" s="29"/>
      <c r="L31" s="29"/>
      <c r="M31" s="29"/>
      <c r="N31" s="29"/>
      <c r="O31" s="29"/>
      <c r="P31" s="29"/>
      <c r="Q31" s="29"/>
    </row>
    <row r="32" spans="1:17" x14ac:dyDescent="0.3">
      <c r="A32" s="25" t="s">
        <v>86</v>
      </c>
      <c r="B32" s="26">
        <v>-0.63739999999999997</v>
      </c>
      <c r="C32" s="27">
        <v>0</v>
      </c>
      <c r="D32" s="28">
        <v>1</v>
      </c>
      <c r="E32" s="29"/>
      <c r="F32" s="29"/>
      <c r="G32" s="31">
        <v>-0.63739999999999997</v>
      </c>
      <c r="H32" s="29"/>
      <c r="I32" s="29"/>
      <c r="J32" s="29"/>
      <c r="K32" s="29"/>
      <c r="L32" s="29"/>
      <c r="M32" s="29"/>
      <c r="N32" s="29"/>
      <c r="O32" s="29"/>
      <c r="P32" s="29"/>
      <c r="Q32" s="29"/>
    </row>
    <row r="33" spans="1:17" x14ac:dyDescent="0.3">
      <c r="A33" s="25" t="s">
        <v>63</v>
      </c>
      <c r="B33" s="26">
        <v>-0.64349999999999996</v>
      </c>
      <c r="C33" s="27">
        <v>2</v>
      </c>
      <c r="D33" s="28">
        <v>2</v>
      </c>
      <c r="E33" s="31">
        <v>-1.4562999999999999</v>
      </c>
      <c r="F33" s="29"/>
      <c r="G33" s="29"/>
      <c r="H33" s="31">
        <v>-0.72319999999999995</v>
      </c>
      <c r="I33" s="30">
        <v>0.70009999999999994</v>
      </c>
      <c r="J33" s="29"/>
      <c r="K33" s="29"/>
      <c r="L33" s="29"/>
      <c r="M33" s="30">
        <v>0.83589999999999998</v>
      </c>
      <c r="N33" s="29"/>
      <c r="O33" s="29"/>
      <c r="P33" s="29"/>
      <c r="Q33" s="29"/>
    </row>
    <row r="34" spans="1:17" x14ac:dyDescent="0.3">
      <c r="A34" s="25" t="s">
        <v>56</v>
      </c>
      <c r="B34" s="26">
        <v>-0.6643</v>
      </c>
      <c r="C34" s="27">
        <v>2</v>
      </c>
      <c r="D34" s="28">
        <v>3</v>
      </c>
      <c r="E34" s="30">
        <v>1.4562999999999999</v>
      </c>
      <c r="F34" s="29"/>
      <c r="G34" s="29"/>
      <c r="H34" s="30">
        <v>0.72319999999999995</v>
      </c>
      <c r="I34" s="31">
        <v>-0.70009999999999994</v>
      </c>
      <c r="J34" s="31">
        <v>-1.0663</v>
      </c>
      <c r="K34" s="29"/>
      <c r="L34" s="29"/>
      <c r="M34" s="29"/>
      <c r="N34" s="31">
        <v>-1.0773999999999999</v>
      </c>
      <c r="O34" s="29"/>
      <c r="P34" s="29"/>
      <c r="Q34" s="29"/>
    </row>
    <row r="35" spans="1:17" x14ac:dyDescent="0.3">
      <c r="A35" s="25" t="s">
        <v>102</v>
      </c>
      <c r="B35" s="26">
        <v>-0.73470000000000002</v>
      </c>
      <c r="C35" s="27">
        <v>1</v>
      </c>
      <c r="D35" s="28">
        <v>2</v>
      </c>
      <c r="E35" s="29"/>
      <c r="F35" s="29"/>
      <c r="G35" s="29"/>
      <c r="H35" s="29"/>
      <c r="I35" s="29"/>
      <c r="J35" s="29"/>
      <c r="K35" s="29"/>
      <c r="L35" s="30">
        <v>0.60450000000000004</v>
      </c>
      <c r="M35" s="31">
        <v>-0.83589999999999998</v>
      </c>
      <c r="N35" s="29"/>
      <c r="O35" s="29"/>
      <c r="P35" s="29"/>
      <c r="Q35" s="31">
        <v>-0.50329999999999997</v>
      </c>
    </row>
    <row r="36" spans="1:17" x14ac:dyDescent="0.3">
      <c r="A36" s="25" t="s">
        <v>93</v>
      </c>
      <c r="B36" s="26">
        <v>-0.86599999999999999</v>
      </c>
      <c r="C36" s="27">
        <v>2</v>
      </c>
      <c r="D36" s="28">
        <v>3</v>
      </c>
      <c r="E36" s="29"/>
      <c r="F36" s="29"/>
      <c r="G36" s="29"/>
      <c r="H36" s="31">
        <v>-0.72319999999999995</v>
      </c>
      <c r="I36" s="29"/>
      <c r="J36" s="30">
        <v>1.0663</v>
      </c>
      <c r="K36" s="29"/>
      <c r="L36" s="29"/>
      <c r="M36" s="29"/>
      <c r="N36" s="30">
        <v>1.0773999999999999</v>
      </c>
      <c r="O36" s="29"/>
      <c r="P36" s="31">
        <v>-1.7831999999999999</v>
      </c>
      <c r="Q36" s="31">
        <v>-0.50329999999999997</v>
      </c>
    </row>
    <row r="37" spans="1:17" x14ac:dyDescent="0.3">
      <c r="A37" s="25" t="s">
        <v>76</v>
      </c>
      <c r="B37" s="26">
        <v>-1.4085000000000001</v>
      </c>
      <c r="C37" s="27">
        <v>2</v>
      </c>
      <c r="D37" s="28">
        <v>3</v>
      </c>
      <c r="E37" s="29"/>
      <c r="F37" s="31">
        <v>-0.4461</v>
      </c>
      <c r="G37" s="29"/>
      <c r="H37" s="29"/>
      <c r="I37" s="29"/>
      <c r="J37" s="29"/>
      <c r="K37" s="31">
        <v>-0.6462</v>
      </c>
      <c r="L37" s="29"/>
      <c r="M37" s="30">
        <v>0.83589999999999998</v>
      </c>
      <c r="N37" s="29"/>
      <c r="O37" s="30">
        <v>0.63109999999999999</v>
      </c>
      <c r="P37" s="31">
        <v>-1.7831999999999999</v>
      </c>
      <c r="Q37" s="29"/>
    </row>
    <row r="38" spans="1:17" x14ac:dyDescent="0.3">
      <c r="A38" s="25" t="s">
        <v>75</v>
      </c>
      <c r="B38" s="26">
        <v>-1.6133999999999999</v>
      </c>
      <c r="C38" s="27">
        <v>1</v>
      </c>
      <c r="D38" s="28">
        <v>4</v>
      </c>
      <c r="E38" s="29"/>
      <c r="F38" s="31">
        <v>-0.4461</v>
      </c>
      <c r="G38" s="31">
        <v>-0.63739999999999997</v>
      </c>
      <c r="H38" s="29"/>
      <c r="I38" s="29"/>
      <c r="J38" s="29"/>
      <c r="K38" s="29"/>
      <c r="L38" s="30">
        <v>0.60450000000000004</v>
      </c>
      <c r="M38" s="29"/>
      <c r="N38" s="29"/>
      <c r="O38" s="31">
        <v>-0.63109999999999999</v>
      </c>
      <c r="P38" s="29"/>
      <c r="Q38" s="31">
        <v>-0.50329999999999997</v>
      </c>
    </row>
    <row r="39" spans="1:17" x14ac:dyDescent="0.3">
      <c r="A39" s="25" t="s">
        <v>90</v>
      </c>
      <c r="B39" s="26">
        <v>-1.716</v>
      </c>
      <c r="C39" s="27">
        <v>2</v>
      </c>
      <c r="D39" s="28">
        <v>4</v>
      </c>
      <c r="E39" s="29"/>
      <c r="F39" s="29"/>
      <c r="G39" s="29"/>
      <c r="H39" s="30">
        <v>0.72319999999999995</v>
      </c>
      <c r="I39" s="31">
        <v>-0.70009999999999994</v>
      </c>
      <c r="J39" s="31">
        <v>-1.0663</v>
      </c>
      <c r="K39" s="31">
        <v>-0.6462</v>
      </c>
      <c r="L39" s="30">
        <v>0.60450000000000004</v>
      </c>
      <c r="M39" s="29"/>
      <c r="N39" s="29"/>
      <c r="O39" s="31">
        <v>-0.63109999999999999</v>
      </c>
      <c r="P39" s="29"/>
      <c r="Q39" s="29"/>
    </row>
    <row r="40" spans="1:17" x14ac:dyDescent="0.3">
      <c r="A40" s="25" t="s">
        <v>96</v>
      </c>
      <c r="B40" s="26">
        <v>-1.7399</v>
      </c>
      <c r="C40" s="27">
        <v>1</v>
      </c>
      <c r="D40" s="28">
        <v>3</v>
      </c>
      <c r="E40" s="29"/>
      <c r="F40" s="29"/>
      <c r="G40" s="29"/>
      <c r="H40" s="29"/>
      <c r="I40" s="31">
        <v>-0.70009999999999994</v>
      </c>
      <c r="J40" s="31">
        <v>-1.0663</v>
      </c>
      <c r="K40" s="29"/>
      <c r="L40" s="31">
        <v>-0.60450000000000004</v>
      </c>
      <c r="M40" s="29"/>
      <c r="N40" s="29"/>
      <c r="O40" s="30">
        <v>0.63109999999999999</v>
      </c>
      <c r="P40" s="29"/>
      <c r="Q40" s="29"/>
    </row>
    <row r="41" spans="1:17" x14ac:dyDescent="0.3">
      <c r="A41" s="25" t="s">
        <v>79</v>
      </c>
      <c r="B41" s="26">
        <v>-1.7829999999999999</v>
      </c>
      <c r="C41" s="27">
        <v>1</v>
      </c>
      <c r="D41" s="28">
        <v>3</v>
      </c>
      <c r="E41" s="29"/>
      <c r="F41" s="31">
        <v>-0.4461</v>
      </c>
      <c r="G41" s="29"/>
      <c r="H41" s="29"/>
      <c r="I41" s="29"/>
      <c r="J41" s="29"/>
      <c r="K41" s="29"/>
      <c r="L41" s="29"/>
      <c r="M41" s="29"/>
      <c r="N41" s="30">
        <v>1.0773999999999999</v>
      </c>
      <c r="O41" s="31">
        <v>-0.63109999999999999</v>
      </c>
      <c r="P41" s="31">
        <v>-1.7831999999999999</v>
      </c>
      <c r="Q41" s="29"/>
    </row>
    <row r="42" spans="1:17" x14ac:dyDescent="0.3">
      <c r="A42" s="25" t="s">
        <v>69</v>
      </c>
      <c r="B42" s="26">
        <v>-1.8427</v>
      </c>
      <c r="C42" s="27">
        <v>1</v>
      </c>
      <c r="D42" s="28">
        <v>4</v>
      </c>
      <c r="E42" s="31">
        <v>-1.4562999999999999</v>
      </c>
      <c r="F42" s="31">
        <v>-0.4461</v>
      </c>
      <c r="G42" s="29"/>
      <c r="H42" s="29"/>
      <c r="I42" s="29"/>
      <c r="J42" s="29"/>
      <c r="K42" s="31">
        <v>-0.6462</v>
      </c>
      <c r="L42" s="29"/>
      <c r="M42" s="29"/>
      <c r="N42" s="31">
        <v>-1.0773999999999999</v>
      </c>
      <c r="O42" s="29"/>
      <c r="P42" s="30">
        <v>1.7831999999999999</v>
      </c>
      <c r="Q42" s="29"/>
    </row>
    <row r="43" spans="1:17" x14ac:dyDescent="0.3">
      <c r="A43" s="25" t="s">
        <v>105</v>
      </c>
      <c r="B43" s="26">
        <v>-2.0817000000000001</v>
      </c>
      <c r="C43" s="27">
        <v>1</v>
      </c>
      <c r="D43" s="28">
        <v>3</v>
      </c>
      <c r="E43" s="29"/>
      <c r="F43" s="29"/>
      <c r="G43" s="29"/>
      <c r="H43" s="29"/>
      <c r="I43" s="29"/>
      <c r="J43" s="29"/>
      <c r="K43" s="29"/>
      <c r="L43" s="29"/>
      <c r="M43" s="30">
        <v>0.83589999999999998</v>
      </c>
      <c r="N43" s="29"/>
      <c r="O43" s="31">
        <v>-0.63109999999999999</v>
      </c>
      <c r="P43" s="31">
        <v>-1.7831999999999999</v>
      </c>
      <c r="Q43" s="31">
        <v>-0.50329999999999997</v>
      </c>
    </row>
    <row r="44" spans="1:17" x14ac:dyDescent="0.3">
      <c r="A44" s="25" t="s">
        <v>92</v>
      </c>
      <c r="B44" s="26">
        <v>-2.1637</v>
      </c>
      <c r="C44" s="27">
        <v>0</v>
      </c>
      <c r="D44" s="28">
        <v>3</v>
      </c>
      <c r="E44" s="29"/>
      <c r="F44" s="29"/>
      <c r="G44" s="29"/>
      <c r="H44" s="31">
        <v>-0.72319999999999995</v>
      </c>
      <c r="I44" s="29"/>
      <c r="J44" s="29"/>
      <c r="K44" s="29"/>
      <c r="L44" s="31">
        <v>-0.60450000000000004</v>
      </c>
      <c r="M44" s="31">
        <v>-0.83589999999999998</v>
      </c>
      <c r="N44" s="29"/>
      <c r="O44" s="29"/>
      <c r="P44" s="29"/>
      <c r="Q44" s="29"/>
    </row>
    <row r="45" spans="1:17" x14ac:dyDescent="0.3">
      <c r="A45" s="25" t="s">
        <v>73</v>
      </c>
      <c r="B45" s="26">
        <v>-2.6797</v>
      </c>
      <c r="C45" s="27">
        <v>1</v>
      </c>
      <c r="D45" s="28">
        <v>5</v>
      </c>
      <c r="E45" s="29"/>
      <c r="F45" s="31">
        <v>-0.4461</v>
      </c>
      <c r="G45" s="31">
        <v>-0.63739999999999997</v>
      </c>
      <c r="H45" s="29"/>
      <c r="I45" s="29"/>
      <c r="J45" s="31">
        <v>-1.0663</v>
      </c>
      <c r="K45" s="29"/>
      <c r="L45" s="30">
        <v>0.60450000000000004</v>
      </c>
      <c r="M45" s="29"/>
      <c r="N45" s="29"/>
      <c r="O45" s="31">
        <v>-0.63109999999999999</v>
      </c>
      <c r="P45" s="29"/>
      <c r="Q45" s="31">
        <v>-0.50329999999999997</v>
      </c>
    </row>
    <row r="46" spans="1:17" x14ac:dyDescent="0.3">
      <c r="A46" s="25" t="s">
        <v>77</v>
      </c>
      <c r="B46" s="26">
        <v>-2.8755000000000002</v>
      </c>
      <c r="C46" s="27">
        <v>0</v>
      </c>
      <c r="D46" s="28">
        <v>3</v>
      </c>
      <c r="E46" s="29"/>
      <c r="F46" s="31">
        <v>-0.4461</v>
      </c>
      <c r="G46" s="29"/>
      <c r="H46" s="29"/>
      <c r="I46" s="29"/>
      <c r="J46" s="29"/>
      <c r="K46" s="31">
        <v>-0.6462</v>
      </c>
      <c r="L46" s="29"/>
      <c r="M46" s="29"/>
      <c r="N46" s="29"/>
      <c r="O46" s="29"/>
      <c r="P46" s="31">
        <v>-1.7831999999999999</v>
      </c>
      <c r="Q46" s="29"/>
    </row>
    <row r="47" spans="1:17" x14ac:dyDescent="0.3">
      <c r="A47" s="25" t="s">
        <v>100</v>
      </c>
      <c r="B47" s="26">
        <v>-3.1905999999999999</v>
      </c>
      <c r="C47" s="27">
        <v>0</v>
      </c>
      <c r="D47" s="28">
        <v>4</v>
      </c>
      <c r="E47" s="29"/>
      <c r="F47" s="29"/>
      <c r="G47" s="29"/>
      <c r="H47" s="29"/>
      <c r="I47" s="29"/>
      <c r="J47" s="29"/>
      <c r="K47" s="31">
        <v>-0.6462</v>
      </c>
      <c r="L47" s="29"/>
      <c r="M47" s="31">
        <v>-0.83589999999999998</v>
      </c>
      <c r="N47" s="31">
        <v>-1.0773999999999999</v>
      </c>
      <c r="O47" s="31">
        <v>-0.63109999999999999</v>
      </c>
      <c r="P47" s="29"/>
      <c r="Q47" s="29"/>
    </row>
    <row r="48" spans="1:17" x14ac:dyDescent="0.3">
      <c r="A48" s="25" t="s">
        <v>78</v>
      </c>
      <c r="B48" s="26">
        <v>-3.4226999999999999</v>
      </c>
      <c r="C48" s="27">
        <v>1</v>
      </c>
      <c r="D48" s="28">
        <v>6</v>
      </c>
      <c r="E48" s="29"/>
      <c r="F48" s="31">
        <v>-0.4461</v>
      </c>
      <c r="G48" s="29"/>
      <c r="H48" s="31">
        <v>-0.72319999999999995</v>
      </c>
      <c r="I48" s="29"/>
      <c r="J48" s="29"/>
      <c r="K48" s="31">
        <v>-0.6462</v>
      </c>
      <c r="L48" s="30">
        <v>0.60450000000000004</v>
      </c>
      <c r="M48" s="29"/>
      <c r="N48" s="31">
        <v>-1.0773999999999999</v>
      </c>
      <c r="O48" s="31">
        <v>-0.63109999999999999</v>
      </c>
      <c r="P48" s="29"/>
      <c r="Q48" s="31">
        <v>-0.50329999999999997</v>
      </c>
    </row>
    <row r="49" spans="1:17" x14ac:dyDescent="0.3">
      <c r="A49" s="25" t="s">
        <v>65</v>
      </c>
      <c r="B49" s="26">
        <v>-3.9628000000000001</v>
      </c>
      <c r="C49" s="27">
        <v>0</v>
      </c>
      <c r="D49" s="28">
        <v>3</v>
      </c>
      <c r="E49" s="31">
        <v>-1.4562999999999999</v>
      </c>
      <c r="F49" s="29"/>
      <c r="G49" s="29"/>
      <c r="H49" s="31">
        <v>-0.72319999999999995</v>
      </c>
      <c r="I49" s="29"/>
      <c r="J49" s="29"/>
      <c r="K49" s="29"/>
      <c r="L49" s="29"/>
      <c r="M49" s="29"/>
      <c r="N49" s="29"/>
      <c r="O49" s="29"/>
      <c r="P49" s="31">
        <v>-1.7831999999999999</v>
      </c>
      <c r="Q49" s="29"/>
    </row>
    <row r="50" spans="1:17" x14ac:dyDescent="0.3">
      <c r="A50" s="25" t="s">
        <v>74</v>
      </c>
      <c r="B50" s="26">
        <v>-4.4561999999999999</v>
      </c>
      <c r="C50" s="27">
        <v>0</v>
      </c>
      <c r="D50" s="28">
        <v>5</v>
      </c>
      <c r="E50" s="29"/>
      <c r="F50" s="31">
        <v>-0.4461</v>
      </c>
      <c r="G50" s="29"/>
      <c r="H50" s="29"/>
      <c r="I50" s="29"/>
      <c r="J50" s="29"/>
      <c r="K50" s="31">
        <v>-0.6462</v>
      </c>
      <c r="L50" s="29"/>
      <c r="M50" s="29"/>
      <c r="N50" s="31">
        <v>-1.0773999999999999</v>
      </c>
      <c r="O50" s="29"/>
      <c r="P50" s="31">
        <v>-1.7831999999999999</v>
      </c>
      <c r="Q50" s="31">
        <v>-0.50329999999999997</v>
      </c>
    </row>
    <row r="51" spans="1:17" x14ac:dyDescent="0.3">
      <c r="A51" s="25" t="s">
        <v>61</v>
      </c>
      <c r="B51" s="26">
        <v>-5.4748000000000001</v>
      </c>
      <c r="C51" s="27">
        <v>0</v>
      </c>
      <c r="D51" s="28">
        <v>7</v>
      </c>
      <c r="E51" s="31">
        <v>-1.4562999999999999</v>
      </c>
      <c r="F51" s="31">
        <v>-0.4461</v>
      </c>
      <c r="G51" s="31">
        <v>-0.63739999999999997</v>
      </c>
      <c r="H51" s="31">
        <v>-0.72319999999999995</v>
      </c>
      <c r="I51" s="29"/>
      <c r="J51" s="29"/>
      <c r="K51" s="29"/>
      <c r="L51" s="29"/>
      <c r="M51" s="29"/>
      <c r="N51" s="31">
        <v>-1.0773999999999999</v>
      </c>
      <c r="O51" s="31">
        <v>-0.63109999999999999</v>
      </c>
      <c r="P51" s="29"/>
      <c r="Q51" s="31">
        <v>-0.50329999999999997</v>
      </c>
    </row>
    <row r="52" spans="1:17" x14ac:dyDescent="0.3">
      <c r="A52" s="104" t="s">
        <v>128</v>
      </c>
      <c r="B52" s="32">
        <f>SUM(B5:B51)</f>
        <v>1.0000000002374776E-4</v>
      </c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</row>
  </sheetData>
  <mergeCells count="3">
    <mergeCell ref="A2:R2"/>
    <mergeCell ref="A52"/>
    <mergeCell ref="A1:R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8"/>
  <sheetViews>
    <sheetView showGridLines="0" workbookViewId="0"/>
  </sheetViews>
  <sheetFormatPr baseColWidth="10" defaultColWidth="8.88671875" defaultRowHeight="14.4" x14ac:dyDescent="0.3"/>
  <cols>
    <col min="1" max="1" width="6" customWidth="1"/>
    <col min="2" max="2" width="20" customWidth="1"/>
    <col min="3" max="3" width="18" customWidth="1"/>
    <col min="4" max="4" width="14" customWidth="1"/>
    <col min="5" max="6" width="10" customWidth="1"/>
  </cols>
  <sheetData>
    <row r="1" spans="1:6" ht="37.950000000000003" customHeight="1" x14ac:dyDescent="0.3">
      <c r="A1" s="87" t="s">
        <v>129</v>
      </c>
      <c r="B1" s="88"/>
      <c r="C1" s="88"/>
      <c r="D1" s="88"/>
      <c r="E1" s="88"/>
      <c r="F1" s="88"/>
    </row>
    <row r="3" spans="1:6" ht="24" customHeight="1" x14ac:dyDescent="0.3">
      <c r="A3" s="105" t="s">
        <v>130</v>
      </c>
      <c r="B3" s="88"/>
      <c r="C3" s="88"/>
      <c r="D3" s="88"/>
      <c r="E3" s="88"/>
      <c r="F3" s="88"/>
    </row>
    <row r="4" spans="1:6" x14ac:dyDescent="0.3">
      <c r="A4" s="33" t="s">
        <v>131</v>
      </c>
      <c r="B4" s="33" t="s">
        <v>47</v>
      </c>
      <c r="C4" s="33" t="s">
        <v>113</v>
      </c>
      <c r="D4" s="33" t="s">
        <v>132</v>
      </c>
      <c r="E4" s="33" t="s">
        <v>133</v>
      </c>
      <c r="F4" s="33" t="s">
        <v>115</v>
      </c>
    </row>
    <row r="5" spans="1:6" x14ac:dyDescent="0.3">
      <c r="A5" s="23">
        <v>1</v>
      </c>
      <c r="B5" s="18" t="s">
        <v>54</v>
      </c>
      <c r="C5" s="34">
        <v>6.0868000000000002</v>
      </c>
      <c r="D5" s="35" t="s">
        <v>134</v>
      </c>
      <c r="E5" s="23">
        <v>8</v>
      </c>
      <c r="F5" s="23">
        <v>0</v>
      </c>
    </row>
    <row r="6" spans="1:6" x14ac:dyDescent="0.3">
      <c r="A6" s="36">
        <v>2</v>
      </c>
      <c r="B6" s="37" t="s">
        <v>67</v>
      </c>
      <c r="C6" s="38">
        <v>5.8221999999999996</v>
      </c>
      <c r="D6" s="39" t="s">
        <v>135</v>
      </c>
      <c r="E6" s="36">
        <v>8</v>
      </c>
      <c r="F6" s="36">
        <v>1</v>
      </c>
    </row>
    <row r="7" spans="1:6" x14ac:dyDescent="0.3">
      <c r="A7" s="23">
        <v>3</v>
      </c>
      <c r="B7" s="18" t="s">
        <v>59</v>
      </c>
      <c r="C7" s="34">
        <v>4.9368999999999996</v>
      </c>
      <c r="D7" s="35" t="s">
        <v>136</v>
      </c>
      <c r="E7" s="23">
        <v>9</v>
      </c>
      <c r="F7" s="23">
        <v>2</v>
      </c>
    </row>
    <row r="8" spans="1:6" x14ac:dyDescent="0.3">
      <c r="A8" s="36">
        <v>4</v>
      </c>
      <c r="B8" s="37" t="s">
        <v>71</v>
      </c>
      <c r="C8" s="38">
        <v>3.9361000000000002</v>
      </c>
      <c r="D8" s="39" t="s">
        <v>137</v>
      </c>
      <c r="E8" s="36">
        <v>5</v>
      </c>
      <c r="F8" s="36">
        <v>0</v>
      </c>
    </row>
    <row r="9" spans="1:6" x14ac:dyDescent="0.3">
      <c r="A9" s="23">
        <v>5</v>
      </c>
      <c r="B9" s="18" t="s">
        <v>57</v>
      </c>
      <c r="C9" s="34">
        <v>2.8060999999999998</v>
      </c>
      <c r="D9" s="35" t="s">
        <v>138</v>
      </c>
      <c r="E9" s="23">
        <v>7</v>
      </c>
      <c r="F9" s="23">
        <v>3</v>
      </c>
    </row>
    <row r="10" spans="1:6" x14ac:dyDescent="0.3">
      <c r="A10" s="36">
        <v>6</v>
      </c>
      <c r="B10" s="37" t="s">
        <v>72</v>
      </c>
      <c r="C10" s="38">
        <v>2.5265</v>
      </c>
      <c r="D10" s="39" t="s">
        <v>139</v>
      </c>
      <c r="E10" s="36">
        <v>7</v>
      </c>
      <c r="F10" s="36">
        <v>4</v>
      </c>
    </row>
    <row r="11" spans="1:6" x14ac:dyDescent="0.3">
      <c r="A11" s="23">
        <v>7</v>
      </c>
      <c r="B11" s="18" t="s">
        <v>103</v>
      </c>
      <c r="C11" s="34">
        <v>2.5179999999999998</v>
      </c>
      <c r="D11" s="35" t="s">
        <v>139</v>
      </c>
      <c r="E11" s="23">
        <v>3</v>
      </c>
      <c r="F11" s="23">
        <v>1</v>
      </c>
    </row>
    <row r="12" spans="1:6" x14ac:dyDescent="0.3">
      <c r="A12" s="36">
        <v>8</v>
      </c>
      <c r="B12" s="37" t="s">
        <v>62</v>
      </c>
      <c r="C12" s="38">
        <v>2.1852</v>
      </c>
      <c r="D12" s="39" t="s">
        <v>139</v>
      </c>
      <c r="E12" s="36">
        <v>6</v>
      </c>
      <c r="F12" s="36">
        <v>4</v>
      </c>
    </row>
    <row r="13" spans="1:6" x14ac:dyDescent="0.3">
      <c r="A13" s="23">
        <v>9</v>
      </c>
      <c r="B13" s="18" t="s">
        <v>68</v>
      </c>
      <c r="C13" s="34">
        <v>2.0123000000000002</v>
      </c>
      <c r="D13" s="35" t="s">
        <v>140</v>
      </c>
      <c r="E13" s="23">
        <v>6</v>
      </c>
      <c r="F13" s="23">
        <v>1</v>
      </c>
    </row>
    <row r="14" spans="1:6" x14ac:dyDescent="0.3">
      <c r="A14" s="36">
        <v>10</v>
      </c>
      <c r="B14" s="37" t="s">
        <v>84</v>
      </c>
      <c r="C14" s="38">
        <v>1.7745</v>
      </c>
      <c r="D14" s="39" t="s">
        <v>140</v>
      </c>
      <c r="E14" s="36">
        <v>2</v>
      </c>
      <c r="F14" s="36">
        <v>1</v>
      </c>
    </row>
    <row r="17" spans="1:6" ht="24" customHeight="1" x14ac:dyDescent="0.3">
      <c r="A17" s="106" t="s">
        <v>141</v>
      </c>
      <c r="B17" s="88"/>
      <c r="C17" s="88"/>
      <c r="D17" s="88"/>
      <c r="E17" s="88"/>
      <c r="F17" s="88"/>
    </row>
    <row r="18" spans="1:6" x14ac:dyDescent="0.3">
      <c r="A18" s="33" t="s">
        <v>131</v>
      </c>
      <c r="B18" s="33" t="s">
        <v>47</v>
      </c>
      <c r="C18" s="33" t="s">
        <v>113</v>
      </c>
      <c r="D18" s="33" t="s">
        <v>132</v>
      </c>
      <c r="E18" s="33" t="s">
        <v>133</v>
      </c>
      <c r="F18" s="33" t="s">
        <v>115</v>
      </c>
    </row>
    <row r="19" spans="1:6" x14ac:dyDescent="0.3">
      <c r="A19" s="29">
        <v>1</v>
      </c>
      <c r="B19" s="25" t="s">
        <v>61</v>
      </c>
      <c r="C19" s="40">
        <v>-5.4748000000000001</v>
      </c>
      <c r="D19" s="41" t="s">
        <v>134</v>
      </c>
      <c r="E19" s="29">
        <v>0</v>
      </c>
      <c r="F19" s="29">
        <v>7</v>
      </c>
    </row>
    <row r="20" spans="1:6" x14ac:dyDescent="0.3">
      <c r="A20" s="42">
        <v>2</v>
      </c>
      <c r="B20" s="43" t="s">
        <v>74</v>
      </c>
      <c r="C20" s="44">
        <v>-4.4561999999999999</v>
      </c>
      <c r="D20" s="45" t="s">
        <v>136</v>
      </c>
      <c r="E20" s="42">
        <v>0</v>
      </c>
      <c r="F20" s="42">
        <v>5</v>
      </c>
    </row>
    <row r="21" spans="1:6" x14ac:dyDescent="0.3">
      <c r="A21" s="29">
        <v>3</v>
      </c>
      <c r="B21" s="25" t="s">
        <v>65</v>
      </c>
      <c r="C21" s="40">
        <v>-3.9628000000000001</v>
      </c>
      <c r="D21" s="41" t="s">
        <v>142</v>
      </c>
      <c r="E21" s="29">
        <v>0</v>
      </c>
      <c r="F21" s="29">
        <v>3</v>
      </c>
    </row>
    <row r="22" spans="1:6" x14ac:dyDescent="0.3">
      <c r="A22" s="42">
        <v>4</v>
      </c>
      <c r="B22" s="43" t="s">
        <v>78</v>
      </c>
      <c r="C22" s="44">
        <v>-3.4226999999999999</v>
      </c>
      <c r="D22" s="45" t="s">
        <v>137</v>
      </c>
      <c r="E22" s="42">
        <v>1</v>
      </c>
      <c r="F22" s="42">
        <v>6</v>
      </c>
    </row>
    <row r="23" spans="1:6" x14ac:dyDescent="0.3">
      <c r="A23" s="29">
        <v>5</v>
      </c>
      <c r="B23" s="25" t="s">
        <v>100</v>
      </c>
      <c r="C23" s="40">
        <v>-3.1905999999999999</v>
      </c>
      <c r="D23" s="41" t="s">
        <v>143</v>
      </c>
      <c r="E23" s="29">
        <v>0</v>
      </c>
      <c r="F23" s="29">
        <v>4</v>
      </c>
    </row>
    <row r="24" spans="1:6" x14ac:dyDescent="0.3">
      <c r="A24" s="42">
        <v>6</v>
      </c>
      <c r="B24" s="43" t="s">
        <v>77</v>
      </c>
      <c r="C24" s="44">
        <v>-2.8755000000000002</v>
      </c>
      <c r="D24" s="45" t="s">
        <v>143</v>
      </c>
      <c r="E24" s="42">
        <v>0</v>
      </c>
      <c r="F24" s="42">
        <v>3</v>
      </c>
    </row>
    <row r="25" spans="1:6" x14ac:dyDescent="0.3">
      <c r="A25" s="29">
        <v>7</v>
      </c>
      <c r="B25" s="25" t="s">
        <v>73</v>
      </c>
      <c r="C25" s="40">
        <v>-2.6797</v>
      </c>
      <c r="D25" s="41" t="s">
        <v>138</v>
      </c>
      <c r="E25" s="29">
        <v>1</v>
      </c>
      <c r="F25" s="29">
        <v>5</v>
      </c>
    </row>
    <row r="26" spans="1:6" x14ac:dyDescent="0.3">
      <c r="A26" s="42">
        <v>8</v>
      </c>
      <c r="B26" s="43" t="s">
        <v>92</v>
      </c>
      <c r="C26" s="44">
        <v>-2.1637</v>
      </c>
      <c r="D26" s="45" t="s">
        <v>139</v>
      </c>
      <c r="E26" s="42">
        <v>0</v>
      </c>
      <c r="F26" s="42">
        <v>3</v>
      </c>
    </row>
    <row r="27" spans="1:6" x14ac:dyDescent="0.3">
      <c r="A27" s="29">
        <v>9</v>
      </c>
      <c r="B27" s="25" t="s">
        <v>105</v>
      </c>
      <c r="C27" s="40">
        <v>-2.0817000000000001</v>
      </c>
      <c r="D27" s="41" t="s">
        <v>139</v>
      </c>
      <c r="E27" s="29">
        <v>1</v>
      </c>
      <c r="F27" s="29">
        <v>3</v>
      </c>
    </row>
    <row r="28" spans="1:6" x14ac:dyDescent="0.3">
      <c r="A28" s="42">
        <v>10</v>
      </c>
      <c r="B28" s="43" t="s">
        <v>69</v>
      </c>
      <c r="C28" s="44">
        <v>-1.8427</v>
      </c>
      <c r="D28" s="45" t="s">
        <v>139</v>
      </c>
      <c r="E28" s="42">
        <v>1</v>
      </c>
      <c r="F28" s="42">
        <v>4</v>
      </c>
    </row>
  </sheetData>
  <mergeCells count="3">
    <mergeCell ref="A3:F3"/>
    <mergeCell ref="A1:F1"/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9"/>
  <sheetViews>
    <sheetView showGridLines="0" workbookViewId="0"/>
  </sheetViews>
  <sheetFormatPr baseColWidth="10" defaultColWidth="8.88671875" defaultRowHeight="14.4" x14ac:dyDescent="0.3"/>
  <cols>
    <col min="1" max="1" width="14" customWidth="1"/>
    <col min="2" max="14" width="11" customWidth="1"/>
  </cols>
  <sheetData>
    <row r="1" spans="1:14" ht="34.950000000000003" customHeight="1" x14ac:dyDescent="0.3">
      <c r="A1" s="94" t="s">
        <v>144</v>
      </c>
      <c r="B1" s="88"/>
      <c r="C1" s="88"/>
      <c r="D1" s="88"/>
      <c r="E1" s="88"/>
      <c r="F1" s="88"/>
      <c r="G1" s="88"/>
      <c r="H1" s="88"/>
      <c r="I1" s="88"/>
      <c r="J1" s="88"/>
      <c r="K1" s="88"/>
      <c r="L1" s="88"/>
      <c r="M1" s="88"/>
      <c r="N1" s="88"/>
    </row>
    <row r="2" spans="1:14" ht="31.95" customHeight="1" x14ac:dyDescent="0.3">
      <c r="A2" s="33" t="s">
        <v>47</v>
      </c>
      <c r="B2" s="46" t="s">
        <v>8</v>
      </c>
      <c r="C2" s="46" t="s">
        <v>26</v>
      </c>
      <c r="D2" s="46" t="s">
        <v>19</v>
      </c>
      <c r="E2" s="46" t="s">
        <v>15</v>
      </c>
      <c r="F2" s="46" t="s">
        <v>16</v>
      </c>
      <c r="G2" s="46" t="s">
        <v>12</v>
      </c>
      <c r="H2" s="46" t="s">
        <v>17</v>
      </c>
      <c r="I2" s="46" t="s">
        <v>22</v>
      </c>
      <c r="J2" s="46" t="s">
        <v>14</v>
      </c>
      <c r="K2" s="46" t="s">
        <v>10</v>
      </c>
      <c r="L2" s="46" t="s">
        <v>20</v>
      </c>
      <c r="M2" s="46" t="s">
        <v>6</v>
      </c>
      <c r="N2" s="46" t="s">
        <v>24</v>
      </c>
    </row>
    <row r="3" spans="1:14" ht="16.05" customHeight="1" x14ac:dyDescent="0.3">
      <c r="A3" s="47" t="s">
        <v>54</v>
      </c>
      <c r="B3" s="48" t="s">
        <v>145</v>
      </c>
      <c r="C3" s="48" t="s">
        <v>145</v>
      </c>
      <c r="D3" s="48" t="s">
        <v>145</v>
      </c>
      <c r="E3" s="49" t="s">
        <v>146</v>
      </c>
      <c r="F3" s="48" t="s">
        <v>145</v>
      </c>
      <c r="G3" s="48" t="s">
        <v>145</v>
      </c>
      <c r="H3" s="48" t="s">
        <v>145</v>
      </c>
      <c r="I3" s="49" t="s">
        <v>146</v>
      </c>
      <c r="J3" s="49" t="s">
        <v>146</v>
      </c>
      <c r="K3" s="49" t="s">
        <v>146</v>
      </c>
      <c r="L3" s="48" t="s">
        <v>145</v>
      </c>
      <c r="M3" s="49" t="s">
        <v>146</v>
      </c>
      <c r="N3" s="48" t="s">
        <v>145</v>
      </c>
    </row>
    <row r="4" spans="1:14" ht="16.05" customHeight="1" x14ac:dyDescent="0.3">
      <c r="A4" s="47" t="s">
        <v>67</v>
      </c>
      <c r="B4" s="50" t="s">
        <v>147</v>
      </c>
      <c r="C4" s="48" t="s">
        <v>145</v>
      </c>
      <c r="D4" s="49" t="s">
        <v>146</v>
      </c>
      <c r="E4" s="48" t="s">
        <v>145</v>
      </c>
      <c r="F4" s="48" t="s">
        <v>145</v>
      </c>
      <c r="G4" s="48" t="s">
        <v>145</v>
      </c>
      <c r="H4" s="48" t="s">
        <v>145</v>
      </c>
      <c r="I4" s="49" t="s">
        <v>146</v>
      </c>
      <c r="J4" s="48" t="s">
        <v>145</v>
      </c>
      <c r="K4" s="48" t="s">
        <v>145</v>
      </c>
      <c r="L4" s="49" t="s">
        <v>146</v>
      </c>
      <c r="M4" s="48" t="s">
        <v>145</v>
      </c>
      <c r="N4" s="49" t="s">
        <v>146</v>
      </c>
    </row>
    <row r="5" spans="1:14" ht="16.05" customHeight="1" x14ac:dyDescent="0.3">
      <c r="A5" s="47" t="s">
        <v>59</v>
      </c>
      <c r="B5" s="48" t="s">
        <v>145</v>
      </c>
      <c r="C5" s="48" t="s">
        <v>145</v>
      </c>
      <c r="D5" s="48" t="s">
        <v>145</v>
      </c>
      <c r="E5" s="48" t="s">
        <v>145</v>
      </c>
      <c r="F5" s="50" t="s">
        <v>147</v>
      </c>
      <c r="G5" s="48" t="s">
        <v>145</v>
      </c>
      <c r="H5" s="48" t="s">
        <v>145</v>
      </c>
      <c r="I5" s="48" t="s">
        <v>145</v>
      </c>
      <c r="J5" s="49" t="s">
        <v>146</v>
      </c>
      <c r="K5" s="50" t="s">
        <v>147</v>
      </c>
      <c r="L5" s="48" t="s">
        <v>145</v>
      </c>
      <c r="M5" s="49" t="s">
        <v>146</v>
      </c>
      <c r="N5" s="48" t="s">
        <v>145</v>
      </c>
    </row>
    <row r="6" spans="1:14" ht="16.05" customHeight="1" x14ac:dyDescent="0.3">
      <c r="A6" s="47" t="s">
        <v>71</v>
      </c>
      <c r="B6" s="49" t="s">
        <v>146</v>
      </c>
      <c r="C6" s="48" t="s">
        <v>145</v>
      </c>
      <c r="D6" s="49" t="s">
        <v>146</v>
      </c>
      <c r="E6" s="49" t="s">
        <v>146</v>
      </c>
      <c r="F6" s="48" t="s">
        <v>145</v>
      </c>
      <c r="G6" s="48" t="s">
        <v>145</v>
      </c>
      <c r="H6" s="48" t="s">
        <v>145</v>
      </c>
      <c r="I6" s="49" t="s">
        <v>146</v>
      </c>
      <c r="J6" s="49" t="s">
        <v>146</v>
      </c>
      <c r="K6" s="48" t="s">
        <v>145</v>
      </c>
      <c r="L6" s="49" t="s">
        <v>146</v>
      </c>
      <c r="M6" s="49" t="s">
        <v>146</v>
      </c>
      <c r="N6" s="49" t="s">
        <v>146</v>
      </c>
    </row>
    <row r="7" spans="1:14" ht="16.05" customHeight="1" x14ac:dyDescent="0.3">
      <c r="A7" s="47" t="s">
        <v>57</v>
      </c>
      <c r="B7" s="48" t="s">
        <v>145</v>
      </c>
      <c r="C7" s="48" t="s">
        <v>145</v>
      </c>
      <c r="D7" s="48" t="s">
        <v>145</v>
      </c>
      <c r="E7" s="49" t="s">
        <v>146</v>
      </c>
      <c r="F7" s="48" t="s">
        <v>145</v>
      </c>
      <c r="G7" s="48" t="s">
        <v>145</v>
      </c>
      <c r="H7" s="48" t="s">
        <v>145</v>
      </c>
      <c r="I7" s="50" t="s">
        <v>147</v>
      </c>
      <c r="J7" s="50" t="s">
        <v>147</v>
      </c>
      <c r="K7" s="48" t="s">
        <v>145</v>
      </c>
      <c r="L7" s="49" t="s">
        <v>146</v>
      </c>
      <c r="M7" s="50" t="s">
        <v>147</v>
      </c>
      <c r="N7" s="49" t="s">
        <v>146</v>
      </c>
    </row>
    <row r="8" spans="1:14" ht="16.05" customHeight="1" x14ac:dyDescent="0.3">
      <c r="A8" s="47" t="s">
        <v>72</v>
      </c>
      <c r="B8" s="49" t="s">
        <v>146</v>
      </c>
      <c r="C8" s="48" t="s">
        <v>145</v>
      </c>
      <c r="D8" s="48" t="s">
        <v>145</v>
      </c>
      <c r="E8" s="50" t="s">
        <v>147</v>
      </c>
      <c r="F8" s="48" t="s">
        <v>145</v>
      </c>
      <c r="G8" s="48" t="s">
        <v>145</v>
      </c>
      <c r="H8" s="49" t="s">
        <v>146</v>
      </c>
      <c r="I8" s="50" t="s">
        <v>147</v>
      </c>
      <c r="J8" s="50" t="s">
        <v>147</v>
      </c>
      <c r="K8" s="50" t="s">
        <v>147</v>
      </c>
      <c r="L8" s="48" t="s">
        <v>145</v>
      </c>
      <c r="M8" s="48" t="s">
        <v>145</v>
      </c>
      <c r="N8" s="48" t="s">
        <v>145</v>
      </c>
    </row>
    <row r="9" spans="1:14" ht="16.05" customHeight="1" x14ac:dyDescent="0.3">
      <c r="A9" s="47" t="s">
        <v>103</v>
      </c>
      <c r="B9" s="49" t="s">
        <v>146</v>
      </c>
      <c r="C9" s="49" t="s">
        <v>146</v>
      </c>
      <c r="D9" s="49" t="s">
        <v>146</v>
      </c>
      <c r="E9" s="49" t="s">
        <v>146</v>
      </c>
      <c r="F9" s="49" t="s">
        <v>146</v>
      </c>
      <c r="G9" s="49" t="s">
        <v>146</v>
      </c>
      <c r="H9" s="49" t="s">
        <v>146</v>
      </c>
      <c r="I9" s="50" t="s">
        <v>147</v>
      </c>
      <c r="J9" s="48" t="s">
        <v>145</v>
      </c>
      <c r="K9" s="49" t="s">
        <v>146</v>
      </c>
      <c r="L9" s="49" t="s">
        <v>146</v>
      </c>
      <c r="M9" s="48" t="s">
        <v>145</v>
      </c>
      <c r="N9" s="48" t="s">
        <v>145</v>
      </c>
    </row>
    <row r="10" spans="1:14" ht="16.05" customHeight="1" x14ac:dyDescent="0.3">
      <c r="A10" s="47" t="s">
        <v>62</v>
      </c>
      <c r="B10" s="50" t="s">
        <v>147</v>
      </c>
      <c r="C10" s="48" t="s">
        <v>145</v>
      </c>
      <c r="D10" s="50" t="s">
        <v>147</v>
      </c>
      <c r="E10" s="49" t="s">
        <v>146</v>
      </c>
      <c r="F10" s="48" t="s">
        <v>145</v>
      </c>
      <c r="G10" s="48" t="s">
        <v>145</v>
      </c>
      <c r="H10" s="48" t="s">
        <v>145</v>
      </c>
      <c r="I10" s="50" t="s">
        <v>147</v>
      </c>
      <c r="J10" s="50" t="s">
        <v>147</v>
      </c>
      <c r="K10" s="48" t="s">
        <v>145</v>
      </c>
      <c r="L10" s="49" t="s">
        <v>146</v>
      </c>
      <c r="M10" s="48" t="s">
        <v>145</v>
      </c>
      <c r="N10" s="49" t="s">
        <v>146</v>
      </c>
    </row>
    <row r="11" spans="1:14" ht="16.05" customHeight="1" x14ac:dyDescent="0.3">
      <c r="A11" s="47" t="s">
        <v>68</v>
      </c>
      <c r="B11" s="50" t="s">
        <v>147</v>
      </c>
      <c r="C11" s="48" t="s">
        <v>145</v>
      </c>
      <c r="D11" s="48" t="s">
        <v>145</v>
      </c>
      <c r="E11" s="49" t="s">
        <v>146</v>
      </c>
      <c r="F11" s="49" t="s">
        <v>146</v>
      </c>
      <c r="G11" s="49" t="s">
        <v>146</v>
      </c>
      <c r="H11" s="48" t="s">
        <v>145</v>
      </c>
      <c r="I11" s="48" t="s">
        <v>145</v>
      </c>
      <c r="J11" s="49" t="s">
        <v>146</v>
      </c>
      <c r="K11" s="49" t="s">
        <v>146</v>
      </c>
      <c r="L11" s="48" t="s">
        <v>145</v>
      </c>
      <c r="M11" s="49" t="s">
        <v>146</v>
      </c>
      <c r="N11" s="48" t="s">
        <v>145</v>
      </c>
    </row>
    <row r="12" spans="1:14" ht="16.05" customHeight="1" x14ac:dyDescent="0.3">
      <c r="A12" s="47" t="s">
        <v>84</v>
      </c>
      <c r="B12" s="49" t="s">
        <v>146</v>
      </c>
      <c r="C12" s="49" t="s">
        <v>146</v>
      </c>
      <c r="D12" s="48" t="s">
        <v>145</v>
      </c>
      <c r="E12" s="49" t="s">
        <v>146</v>
      </c>
      <c r="F12" s="49" t="s">
        <v>146</v>
      </c>
      <c r="G12" s="49" t="s">
        <v>146</v>
      </c>
      <c r="H12" s="50" t="s">
        <v>147</v>
      </c>
      <c r="I12" s="49" t="s">
        <v>146</v>
      </c>
      <c r="J12" s="49" t="s">
        <v>146</v>
      </c>
      <c r="K12" s="49" t="s">
        <v>146</v>
      </c>
      <c r="L12" s="49" t="s">
        <v>146</v>
      </c>
      <c r="M12" s="48" t="s">
        <v>145</v>
      </c>
      <c r="N12" s="49" t="s">
        <v>146</v>
      </c>
    </row>
    <row r="13" spans="1:14" ht="16.05" customHeight="1" x14ac:dyDescent="0.3">
      <c r="A13" s="47" t="s">
        <v>89</v>
      </c>
      <c r="B13" s="49" t="s">
        <v>146</v>
      </c>
      <c r="C13" s="49" t="s">
        <v>146</v>
      </c>
      <c r="D13" s="49" t="s">
        <v>146</v>
      </c>
      <c r="E13" s="48" t="s">
        <v>145</v>
      </c>
      <c r="F13" s="49" t="s">
        <v>146</v>
      </c>
      <c r="G13" s="50" t="s">
        <v>147</v>
      </c>
      <c r="H13" s="49" t="s">
        <v>146</v>
      </c>
      <c r="I13" s="49" t="s">
        <v>146</v>
      </c>
      <c r="J13" s="48" t="s">
        <v>145</v>
      </c>
      <c r="K13" s="49" t="s">
        <v>146</v>
      </c>
      <c r="L13" s="48" t="s">
        <v>145</v>
      </c>
      <c r="M13" s="49" t="s">
        <v>146</v>
      </c>
      <c r="N13" s="48" t="s">
        <v>145</v>
      </c>
    </row>
    <row r="14" spans="1:14" ht="16.05" customHeight="1" x14ac:dyDescent="0.3">
      <c r="A14" s="47" t="s">
        <v>81</v>
      </c>
      <c r="B14" s="49" t="s">
        <v>146</v>
      </c>
      <c r="C14" s="49" t="s">
        <v>146</v>
      </c>
      <c r="D14" s="48" t="s">
        <v>145</v>
      </c>
      <c r="E14" s="49" t="s">
        <v>146</v>
      </c>
      <c r="F14" s="49" t="s">
        <v>146</v>
      </c>
      <c r="G14" s="49" t="s">
        <v>146</v>
      </c>
      <c r="H14" s="48" t="s">
        <v>145</v>
      </c>
      <c r="I14" s="49" t="s">
        <v>146</v>
      </c>
      <c r="J14" s="50" t="s">
        <v>147</v>
      </c>
      <c r="K14" s="49" t="s">
        <v>146</v>
      </c>
      <c r="L14" s="48" t="s">
        <v>145</v>
      </c>
      <c r="M14" s="49" t="s">
        <v>146</v>
      </c>
      <c r="N14" s="48" t="s">
        <v>145</v>
      </c>
    </row>
    <row r="15" spans="1:14" ht="16.05" customHeight="1" x14ac:dyDescent="0.3">
      <c r="A15" s="47" t="s">
        <v>52</v>
      </c>
      <c r="B15" s="48" t="s">
        <v>145</v>
      </c>
      <c r="C15" s="49" t="s">
        <v>146</v>
      </c>
      <c r="D15" s="50" t="s">
        <v>147</v>
      </c>
      <c r="E15" s="49" t="s">
        <v>146</v>
      </c>
      <c r="F15" s="50" t="s">
        <v>147</v>
      </c>
      <c r="G15" s="49" t="s">
        <v>146</v>
      </c>
      <c r="H15" s="49" t="s">
        <v>146</v>
      </c>
      <c r="I15" s="48" t="s">
        <v>145</v>
      </c>
      <c r="J15" s="48" t="s">
        <v>145</v>
      </c>
      <c r="K15" s="49" t="s">
        <v>146</v>
      </c>
      <c r="L15" s="49" t="s">
        <v>146</v>
      </c>
      <c r="M15" s="49" t="s">
        <v>146</v>
      </c>
      <c r="N15" s="49" t="s">
        <v>146</v>
      </c>
    </row>
    <row r="16" spans="1:14" ht="16.05" customHeight="1" x14ac:dyDescent="0.3">
      <c r="A16" s="47" t="s">
        <v>91</v>
      </c>
      <c r="B16" s="49" t="s">
        <v>146</v>
      </c>
      <c r="C16" s="49" t="s">
        <v>146</v>
      </c>
      <c r="D16" s="49" t="s">
        <v>146</v>
      </c>
      <c r="E16" s="48" t="s">
        <v>145</v>
      </c>
      <c r="F16" s="49" t="s">
        <v>146</v>
      </c>
      <c r="G16" s="50" t="s">
        <v>147</v>
      </c>
      <c r="H16" s="49" t="s">
        <v>146</v>
      </c>
      <c r="I16" s="49" t="s">
        <v>146</v>
      </c>
      <c r="J16" s="49" t="s">
        <v>146</v>
      </c>
      <c r="K16" s="49" t="s">
        <v>146</v>
      </c>
      <c r="L16" s="49" t="s">
        <v>146</v>
      </c>
      <c r="M16" s="48" t="s">
        <v>145</v>
      </c>
      <c r="N16" s="49" t="s">
        <v>146</v>
      </c>
    </row>
    <row r="17" spans="1:14" ht="16.05" customHeight="1" x14ac:dyDescent="0.3">
      <c r="A17" s="47" t="s">
        <v>99</v>
      </c>
      <c r="B17" s="49" t="s">
        <v>146</v>
      </c>
      <c r="C17" s="49" t="s">
        <v>146</v>
      </c>
      <c r="D17" s="49" t="s">
        <v>146</v>
      </c>
      <c r="E17" s="49" t="s">
        <v>146</v>
      </c>
      <c r="F17" s="49" t="s">
        <v>146</v>
      </c>
      <c r="G17" s="49" t="s">
        <v>146</v>
      </c>
      <c r="H17" s="48" t="s">
        <v>145</v>
      </c>
      <c r="I17" s="48" t="s">
        <v>145</v>
      </c>
      <c r="J17" s="49" t="s">
        <v>146</v>
      </c>
      <c r="K17" s="49" t="s">
        <v>146</v>
      </c>
      <c r="L17" s="49" t="s">
        <v>146</v>
      </c>
      <c r="M17" s="49" t="s">
        <v>146</v>
      </c>
      <c r="N17" s="49" t="s">
        <v>146</v>
      </c>
    </row>
    <row r="18" spans="1:14" ht="16.05" customHeight="1" x14ac:dyDescent="0.3">
      <c r="A18" s="47" t="s">
        <v>107</v>
      </c>
      <c r="B18" s="49" t="s">
        <v>146</v>
      </c>
      <c r="C18" s="49" t="s">
        <v>146</v>
      </c>
      <c r="D18" s="49" t="s">
        <v>146</v>
      </c>
      <c r="E18" s="49" t="s">
        <v>146</v>
      </c>
      <c r="F18" s="49" t="s">
        <v>146</v>
      </c>
      <c r="G18" s="49" t="s">
        <v>146</v>
      </c>
      <c r="H18" s="49" t="s">
        <v>146</v>
      </c>
      <c r="I18" s="49" t="s">
        <v>146</v>
      </c>
      <c r="J18" s="49" t="s">
        <v>146</v>
      </c>
      <c r="K18" s="48" t="s">
        <v>145</v>
      </c>
      <c r="L18" s="49" t="s">
        <v>146</v>
      </c>
      <c r="M18" s="49" t="s">
        <v>146</v>
      </c>
      <c r="N18" s="49" t="s">
        <v>146</v>
      </c>
    </row>
    <row r="19" spans="1:14" ht="16.05" customHeight="1" x14ac:dyDescent="0.3">
      <c r="A19" s="47" t="s">
        <v>88</v>
      </c>
      <c r="B19" s="49" t="s">
        <v>146</v>
      </c>
      <c r="C19" s="49" t="s">
        <v>146</v>
      </c>
      <c r="D19" s="49" t="s">
        <v>146</v>
      </c>
      <c r="E19" s="48" t="s">
        <v>145</v>
      </c>
      <c r="F19" s="49" t="s">
        <v>146</v>
      </c>
      <c r="G19" s="50" t="s">
        <v>147</v>
      </c>
      <c r="H19" s="49" t="s">
        <v>146</v>
      </c>
      <c r="I19" s="49" t="s">
        <v>146</v>
      </c>
      <c r="J19" s="48" t="s">
        <v>145</v>
      </c>
      <c r="K19" s="49" t="s">
        <v>146</v>
      </c>
      <c r="L19" s="49" t="s">
        <v>146</v>
      </c>
      <c r="M19" s="49" t="s">
        <v>146</v>
      </c>
      <c r="N19" s="49" t="s">
        <v>146</v>
      </c>
    </row>
    <row r="20" spans="1:14" ht="16.05" customHeight="1" x14ac:dyDescent="0.3">
      <c r="A20" s="47" t="s">
        <v>82</v>
      </c>
      <c r="B20" s="49" t="s">
        <v>146</v>
      </c>
      <c r="C20" s="49" t="s">
        <v>146</v>
      </c>
      <c r="D20" s="48" t="s">
        <v>145</v>
      </c>
      <c r="E20" s="48" t="s">
        <v>145</v>
      </c>
      <c r="F20" s="49" t="s">
        <v>146</v>
      </c>
      <c r="G20" s="50" t="s">
        <v>147</v>
      </c>
      <c r="H20" s="49" t="s">
        <v>146</v>
      </c>
      <c r="I20" s="50" t="s">
        <v>147</v>
      </c>
      <c r="J20" s="50" t="s">
        <v>147</v>
      </c>
      <c r="K20" s="48" t="s">
        <v>145</v>
      </c>
      <c r="L20" s="49" t="s">
        <v>146</v>
      </c>
      <c r="M20" s="49" t="s">
        <v>146</v>
      </c>
      <c r="N20" s="48" t="s">
        <v>145</v>
      </c>
    </row>
    <row r="21" spans="1:14" ht="16.05" customHeight="1" x14ac:dyDescent="0.3">
      <c r="A21" s="47" t="s">
        <v>53</v>
      </c>
      <c r="B21" s="48" t="s">
        <v>145</v>
      </c>
      <c r="C21" s="49" t="s">
        <v>146</v>
      </c>
      <c r="D21" s="49" t="s">
        <v>146</v>
      </c>
      <c r="E21" s="49" t="s">
        <v>146</v>
      </c>
      <c r="F21" s="50" t="s">
        <v>147</v>
      </c>
      <c r="G21" s="49" t="s">
        <v>146</v>
      </c>
      <c r="H21" s="49" t="s">
        <v>146</v>
      </c>
      <c r="I21" s="49" t="s">
        <v>146</v>
      </c>
      <c r="J21" s="48" t="s">
        <v>145</v>
      </c>
      <c r="K21" s="48" t="s">
        <v>145</v>
      </c>
      <c r="L21" s="49" t="s">
        <v>146</v>
      </c>
      <c r="M21" s="50" t="s">
        <v>147</v>
      </c>
      <c r="N21" s="50" t="s">
        <v>147</v>
      </c>
    </row>
    <row r="22" spans="1:14" ht="16.05" customHeight="1" x14ac:dyDescent="0.3">
      <c r="A22" s="47" t="s">
        <v>55</v>
      </c>
      <c r="B22" s="48" t="s">
        <v>145</v>
      </c>
      <c r="C22" s="49" t="s">
        <v>146</v>
      </c>
      <c r="D22" s="49" t="s">
        <v>146</v>
      </c>
      <c r="E22" s="49" t="s">
        <v>146</v>
      </c>
      <c r="F22" s="50" t="s">
        <v>147</v>
      </c>
      <c r="G22" s="50" t="s">
        <v>147</v>
      </c>
      <c r="H22" s="50" t="s">
        <v>147</v>
      </c>
      <c r="I22" s="49" t="s">
        <v>146</v>
      </c>
      <c r="J22" s="49" t="s">
        <v>146</v>
      </c>
      <c r="K22" s="49" t="s">
        <v>146</v>
      </c>
      <c r="L22" s="50" t="s">
        <v>147</v>
      </c>
      <c r="M22" s="48" t="s">
        <v>145</v>
      </c>
      <c r="N22" s="49" t="s">
        <v>146</v>
      </c>
    </row>
    <row r="23" spans="1:14" ht="16.05" customHeight="1" x14ac:dyDescent="0.3">
      <c r="A23" s="47" t="s">
        <v>58</v>
      </c>
      <c r="B23" s="48" t="s">
        <v>145</v>
      </c>
      <c r="C23" s="49" t="s">
        <v>146</v>
      </c>
      <c r="D23" s="50" t="s">
        <v>147</v>
      </c>
      <c r="E23" s="49" t="s">
        <v>146</v>
      </c>
      <c r="F23" s="50" t="s">
        <v>147</v>
      </c>
      <c r="G23" s="49" t="s">
        <v>146</v>
      </c>
      <c r="H23" s="49" t="s">
        <v>146</v>
      </c>
      <c r="I23" s="50" t="s">
        <v>147</v>
      </c>
      <c r="J23" s="49" t="s">
        <v>146</v>
      </c>
      <c r="K23" s="49" t="s">
        <v>146</v>
      </c>
      <c r="L23" s="48" t="s">
        <v>145</v>
      </c>
      <c r="M23" s="49" t="s">
        <v>146</v>
      </c>
      <c r="N23" s="49" t="s">
        <v>146</v>
      </c>
    </row>
    <row r="24" spans="1:14" ht="16.05" customHeight="1" x14ac:dyDescent="0.3">
      <c r="A24" s="47" t="s">
        <v>51</v>
      </c>
      <c r="B24" s="48" t="s">
        <v>145</v>
      </c>
      <c r="C24" s="49" t="s">
        <v>146</v>
      </c>
      <c r="D24" s="50" t="s">
        <v>147</v>
      </c>
      <c r="E24" s="50" t="s">
        <v>147</v>
      </c>
      <c r="F24" s="49" t="s">
        <v>146</v>
      </c>
      <c r="G24" s="49" t="s">
        <v>146</v>
      </c>
      <c r="H24" s="49" t="s">
        <v>146</v>
      </c>
      <c r="I24" s="49" t="s">
        <v>146</v>
      </c>
      <c r="J24" s="49" t="s">
        <v>146</v>
      </c>
      <c r="K24" s="49" t="s">
        <v>146</v>
      </c>
      <c r="L24" s="49" t="s">
        <v>146</v>
      </c>
      <c r="M24" s="49" t="s">
        <v>146</v>
      </c>
      <c r="N24" s="49" t="s">
        <v>146</v>
      </c>
    </row>
    <row r="25" spans="1:14" ht="16.05" customHeight="1" x14ac:dyDescent="0.3">
      <c r="A25" s="47" t="s">
        <v>66</v>
      </c>
      <c r="B25" s="50" t="s">
        <v>147</v>
      </c>
      <c r="C25" s="48" t="s">
        <v>145</v>
      </c>
      <c r="D25" s="49" t="s">
        <v>146</v>
      </c>
      <c r="E25" s="48" t="s">
        <v>145</v>
      </c>
      <c r="F25" s="48" t="s">
        <v>145</v>
      </c>
      <c r="G25" s="48" t="s">
        <v>145</v>
      </c>
      <c r="H25" s="49" t="s">
        <v>146</v>
      </c>
      <c r="I25" s="50" t="s">
        <v>147</v>
      </c>
      <c r="J25" s="50" t="s">
        <v>147</v>
      </c>
      <c r="K25" s="49" t="s">
        <v>146</v>
      </c>
      <c r="L25" s="49" t="s">
        <v>146</v>
      </c>
      <c r="M25" s="49" t="s">
        <v>146</v>
      </c>
      <c r="N25" s="49" t="s">
        <v>146</v>
      </c>
    </row>
    <row r="26" spans="1:14" ht="16.05" customHeight="1" x14ac:dyDescent="0.3">
      <c r="A26" s="47" t="s">
        <v>95</v>
      </c>
      <c r="B26" s="49" t="s">
        <v>146</v>
      </c>
      <c r="C26" s="49" t="s">
        <v>146</v>
      </c>
      <c r="D26" s="49" t="s">
        <v>146</v>
      </c>
      <c r="E26" s="49" t="s">
        <v>146</v>
      </c>
      <c r="F26" s="50" t="s">
        <v>147</v>
      </c>
      <c r="G26" s="49" t="s">
        <v>146</v>
      </c>
      <c r="H26" s="49" t="s">
        <v>146</v>
      </c>
      <c r="I26" s="49" t="s">
        <v>146</v>
      </c>
      <c r="J26" s="49" t="s">
        <v>146</v>
      </c>
      <c r="K26" s="50" t="s">
        <v>147</v>
      </c>
      <c r="L26" s="49" t="s">
        <v>146</v>
      </c>
      <c r="M26" s="48" t="s">
        <v>145</v>
      </c>
      <c r="N26" s="49" t="s">
        <v>146</v>
      </c>
    </row>
    <row r="27" spans="1:14" ht="16.05" customHeight="1" x14ac:dyDescent="0.3">
      <c r="A27" s="51" t="s">
        <v>83</v>
      </c>
      <c r="B27" s="49" t="s">
        <v>146</v>
      </c>
      <c r="C27" s="49" t="s">
        <v>146</v>
      </c>
      <c r="D27" s="48" t="s">
        <v>145</v>
      </c>
      <c r="E27" s="50" t="s">
        <v>147</v>
      </c>
      <c r="F27" s="49" t="s">
        <v>146</v>
      </c>
      <c r="G27" s="49" t="s">
        <v>146</v>
      </c>
      <c r="H27" s="49" t="s">
        <v>146</v>
      </c>
      <c r="I27" s="49" t="s">
        <v>146</v>
      </c>
      <c r="J27" s="49" t="s">
        <v>146</v>
      </c>
      <c r="K27" s="49" t="s">
        <v>146</v>
      </c>
      <c r="L27" s="49" t="s">
        <v>146</v>
      </c>
      <c r="M27" s="49" t="s">
        <v>146</v>
      </c>
      <c r="N27" s="49" t="s">
        <v>146</v>
      </c>
    </row>
    <row r="28" spans="1:14" ht="16.05" customHeight="1" x14ac:dyDescent="0.3">
      <c r="A28" s="51" t="s">
        <v>64</v>
      </c>
      <c r="B28" s="50" t="s">
        <v>147</v>
      </c>
      <c r="C28" s="49" t="s">
        <v>146</v>
      </c>
      <c r="D28" s="49" t="s">
        <v>146</v>
      </c>
      <c r="E28" s="49" t="s">
        <v>146</v>
      </c>
      <c r="F28" s="48" t="s">
        <v>145</v>
      </c>
      <c r="G28" s="49" t="s">
        <v>146</v>
      </c>
      <c r="H28" s="49" t="s">
        <v>146</v>
      </c>
      <c r="I28" s="49" t="s">
        <v>146</v>
      </c>
      <c r="J28" s="49" t="s">
        <v>146</v>
      </c>
      <c r="K28" s="49" t="s">
        <v>146</v>
      </c>
      <c r="L28" s="49" t="s">
        <v>146</v>
      </c>
      <c r="M28" s="49" t="s">
        <v>146</v>
      </c>
      <c r="N28" s="48" t="s">
        <v>145</v>
      </c>
    </row>
    <row r="29" spans="1:14" ht="16.05" customHeight="1" x14ac:dyDescent="0.3">
      <c r="A29" s="51" t="s">
        <v>85</v>
      </c>
      <c r="B29" s="49" t="s">
        <v>146</v>
      </c>
      <c r="C29" s="49" t="s">
        <v>146</v>
      </c>
      <c r="D29" s="50" t="s">
        <v>147</v>
      </c>
      <c r="E29" s="49" t="s">
        <v>146</v>
      </c>
      <c r="F29" s="49" t="s">
        <v>146</v>
      </c>
      <c r="G29" s="49" t="s">
        <v>146</v>
      </c>
      <c r="H29" s="49" t="s">
        <v>146</v>
      </c>
      <c r="I29" s="49" t="s">
        <v>146</v>
      </c>
      <c r="J29" s="49" t="s">
        <v>146</v>
      </c>
      <c r="K29" s="49" t="s">
        <v>146</v>
      </c>
      <c r="L29" s="49" t="s">
        <v>146</v>
      </c>
      <c r="M29" s="49" t="s">
        <v>146</v>
      </c>
      <c r="N29" s="49" t="s">
        <v>146</v>
      </c>
    </row>
    <row r="30" spans="1:14" ht="16.05" customHeight="1" x14ac:dyDescent="0.3">
      <c r="A30" s="51" t="s">
        <v>86</v>
      </c>
      <c r="B30" s="49" t="s">
        <v>146</v>
      </c>
      <c r="C30" s="49" t="s">
        <v>146</v>
      </c>
      <c r="D30" s="50" t="s">
        <v>147</v>
      </c>
      <c r="E30" s="49" t="s">
        <v>146</v>
      </c>
      <c r="F30" s="49" t="s">
        <v>146</v>
      </c>
      <c r="G30" s="49" t="s">
        <v>146</v>
      </c>
      <c r="H30" s="49" t="s">
        <v>146</v>
      </c>
      <c r="I30" s="49" t="s">
        <v>146</v>
      </c>
      <c r="J30" s="49" t="s">
        <v>146</v>
      </c>
      <c r="K30" s="49" t="s">
        <v>146</v>
      </c>
      <c r="L30" s="49" t="s">
        <v>146</v>
      </c>
      <c r="M30" s="49" t="s">
        <v>146</v>
      </c>
      <c r="N30" s="49" t="s">
        <v>146</v>
      </c>
    </row>
    <row r="31" spans="1:14" ht="16.05" customHeight="1" x14ac:dyDescent="0.3">
      <c r="A31" s="51" t="s">
        <v>63</v>
      </c>
      <c r="B31" s="50" t="s">
        <v>147</v>
      </c>
      <c r="C31" s="49" t="s">
        <v>146</v>
      </c>
      <c r="D31" s="49" t="s">
        <v>146</v>
      </c>
      <c r="E31" s="50" t="s">
        <v>147</v>
      </c>
      <c r="F31" s="48" t="s">
        <v>145</v>
      </c>
      <c r="G31" s="49" t="s">
        <v>146</v>
      </c>
      <c r="H31" s="49" t="s">
        <v>146</v>
      </c>
      <c r="I31" s="49" t="s">
        <v>146</v>
      </c>
      <c r="J31" s="48" t="s">
        <v>145</v>
      </c>
      <c r="K31" s="49" t="s">
        <v>146</v>
      </c>
      <c r="L31" s="49" t="s">
        <v>146</v>
      </c>
      <c r="M31" s="49" t="s">
        <v>146</v>
      </c>
      <c r="N31" s="49" t="s">
        <v>146</v>
      </c>
    </row>
    <row r="32" spans="1:14" ht="16.05" customHeight="1" x14ac:dyDescent="0.3">
      <c r="A32" s="51" t="s">
        <v>56</v>
      </c>
      <c r="B32" s="48" t="s">
        <v>145</v>
      </c>
      <c r="C32" s="49" t="s">
        <v>146</v>
      </c>
      <c r="D32" s="49" t="s">
        <v>146</v>
      </c>
      <c r="E32" s="48" t="s">
        <v>145</v>
      </c>
      <c r="F32" s="50" t="s">
        <v>147</v>
      </c>
      <c r="G32" s="50" t="s">
        <v>147</v>
      </c>
      <c r="H32" s="49" t="s">
        <v>146</v>
      </c>
      <c r="I32" s="49" t="s">
        <v>146</v>
      </c>
      <c r="J32" s="49" t="s">
        <v>146</v>
      </c>
      <c r="K32" s="50" t="s">
        <v>147</v>
      </c>
      <c r="L32" s="49" t="s">
        <v>146</v>
      </c>
      <c r="M32" s="49" t="s">
        <v>146</v>
      </c>
      <c r="N32" s="49" t="s">
        <v>146</v>
      </c>
    </row>
    <row r="33" spans="1:14" ht="16.05" customHeight="1" x14ac:dyDescent="0.3">
      <c r="A33" s="51" t="s">
        <v>102</v>
      </c>
      <c r="B33" s="49" t="s">
        <v>146</v>
      </c>
      <c r="C33" s="49" t="s">
        <v>146</v>
      </c>
      <c r="D33" s="49" t="s">
        <v>146</v>
      </c>
      <c r="E33" s="49" t="s">
        <v>146</v>
      </c>
      <c r="F33" s="49" t="s">
        <v>146</v>
      </c>
      <c r="G33" s="49" t="s">
        <v>146</v>
      </c>
      <c r="H33" s="49" t="s">
        <v>146</v>
      </c>
      <c r="I33" s="48" t="s">
        <v>145</v>
      </c>
      <c r="J33" s="50" t="s">
        <v>147</v>
      </c>
      <c r="K33" s="49" t="s">
        <v>146</v>
      </c>
      <c r="L33" s="49" t="s">
        <v>146</v>
      </c>
      <c r="M33" s="49" t="s">
        <v>146</v>
      </c>
      <c r="N33" s="50" t="s">
        <v>147</v>
      </c>
    </row>
    <row r="34" spans="1:14" ht="16.05" customHeight="1" x14ac:dyDescent="0.3">
      <c r="A34" s="51" t="s">
        <v>93</v>
      </c>
      <c r="B34" s="49" t="s">
        <v>146</v>
      </c>
      <c r="C34" s="49" t="s">
        <v>146</v>
      </c>
      <c r="D34" s="49" t="s">
        <v>146</v>
      </c>
      <c r="E34" s="50" t="s">
        <v>147</v>
      </c>
      <c r="F34" s="49" t="s">
        <v>146</v>
      </c>
      <c r="G34" s="48" t="s">
        <v>145</v>
      </c>
      <c r="H34" s="49" t="s">
        <v>146</v>
      </c>
      <c r="I34" s="49" t="s">
        <v>146</v>
      </c>
      <c r="J34" s="49" t="s">
        <v>146</v>
      </c>
      <c r="K34" s="48" t="s">
        <v>145</v>
      </c>
      <c r="L34" s="49" t="s">
        <v>146</v>
      </c>
      <c r="M34" s="50" t="s">
        <v>147</v>
      </c>
      <c r="N34" s="50" t="s">
        <v>147</v>
      </c>
    </row>
    <row r="35" spans="1:14" ht="16.05" customHeight="1" x14ac:dyDescent="0.3">
      <c r="A35" s="51" t="s">
        <v>76</v>
      </c>
      <c r="B35" s="49" t="s">
        <v>146</v>
      </c>
      <c r="C35" s="50" t="s">
        <v>147</v>
      </c>
      <c r="D35" s="49" t="s">
        <v>146</v>
      </c>
      <c r="E35" s="49" t="s">
        <v>146</v>
      </c>
      <c r="F35" s="49" t="s">
        <v>146</v>
      </c>
      <c r="G35" s="49" t="s">
        <v>146</v>
      </c>
      <c r="H35" s="50" t="s">
        <v>147</v>
      </c>
      <c r="I35" s="49" t="s">
        <v>146</v>
      </c>
      <c r="J35" s="48" t="s">
        <v>145</v>
      </c>
      <c r="K35" s="49" t="s">
        <v>146</v>
      </c>
      <c r="L35" s="48" t="s">
        <v>145</v>
      </c>
      <c r="M35" s="50" t="s">
        <v>147</v>
      </c>
      <c r="N35" s="49" t="s">
        <v>146</v>
      </c>
    </row>
    <row r="36" spans="1:14" ht="16.05" customHeight="1" x14ac:dyDescent="0.3">
      <c r="A36" s="51" t="s">
        <v>75</v>
      </c>
      <c r="B36" s="49" t="s">
        <v>146</v>
      </c>
      <c r="C36" s="50" t="s">
        <v>147</v>
      </c>
      <c r="D36" s="50" t="s">
        <v>147</v>
      </c>
      <c r="E36" s="49" t="s">
        <v>146</v>
      </c>
      <c r="F36" s="49" t="s">
        <v>146</v>
      </c>
      <c r="G36" s="49" t="s">
        <v>146</v>
      </c>
      <c r="H36" s="49" t="s">
        <v>146</v>
      </c>
      <c r="I36" s="48" t="s">
        <v>145</v>
      </c>
      <c r="J36" s="49" t="s">
        <v>146</v>
      </c>
      <c r="K36" s="49" t="s">
        <v>146</v>
      </c>
      <c r="L36" s="50" t="s">
        <v>147</v>
      </c>
      <c r="M36" s="49" t="s">
        <v>146</v>
      </c>
      <c r="N36" s="50" t="s">
        <v>147</v>
      </c>
    </row>
    <row r="37" spans="1:14" ht="16.05" customHeight="1" x14ac:dyDescent="0.3">
      <c r="A37" s="51" t="s">
        <v>90</v>
      </c>
      <c r="B37" s="49" t="s">
        <v>146</v>
      </c>
      <c r="C37" s="49" t="s">
        <v>146</v>
      </c>
      <c r="D37" s="49" t="s">
        <v>146</v>
      </c>
      <c r="E37" s="48" t="s">
        <v>145</v>
      </c>
      <c r="F37" s="50" t="s">
        <v>147</v>
      </c>
      <c r="G37" s="50" t="s">
        <v>147</v>
      </c>
      <c r="H37" s="50" t="s">
        <v>147</v>
      </c>
      <c r="I37" s="48" t="s">
        <v>145</v>
      </c>
      <c r="J37" s="49" t="s">
        <v>146</v>
      </c>
      <c r="K37" s="49" t="s">
        <v>146</v>
      </c>
      <c r="L37" s="50" t="s">
        <v>147</v>
      </c>
      <c r="M37" s="49" t="s">
        <v>146</v>
      </c>
      <c r="N37" s="49" t="s">
        <v>146</v>
      </c>
    </row>
    <row r="38" spans="1:14" ht="16.05" customHeight="1" x14ac:dyDescent="0.3">
      <c r="A38" s="51" t="s">
        <v>96</v>
      </c>
      <c r="B38" s="49" t="s">
        <v>146</v>
      </c>
      <c r="C38" s="49" t="s">
        <v>146</v>
      </c>
      <c r="D38" s="49" t="s">
        <v>146</v>
      </c>
      <c r="E38" s="49" t="s">
        <v>146</v>
      </c>
      <c r="F38" s="50" t="s">
        <v>147</v>
      </c>
      <c r="G38" s="50" t="s">
        <v>147</v>
      </c>
      <c r="H38" s="49" t="s">
        <v>146</v>
      </c>
      <c r="I38" s="50" t="s">
        <v>147</v>
      </c>
      <c r="J38" s="49" t="s">
        <v>146</v>
      </c>
      <c r="K38" s="49" t="s">
        <v>146</v>
      </c>
      <c r="L38" s="48" t="s">
        <v>145</v>
      </c>
      <c r="M38" s="49" t="s">
        <v>146</v>
      </c>
      <c r="N38" s="49" t="s">
        <v>146</v>
      </c>
    </row>
    <row r="39" spans="1:14" ht="16.05" customHeight="1" x14ac:dyDescent="0.3">
      <c r="A39" s="51" t="s">
        <v>79</v>
      </c>
      <c r="B39" s="49" t="s">
        <v>146</v>
      </c>
      <c r="C39" s="50" t="s">
        <v>147</v>
      </c>
      <c r="D39" s="49" t="s">
        <v>146</v>
      </c>
      <c r="E39" s="49" t="s">
        <v>146</v>
      </c>
      <c r="F39" s="49" t="s">
        <v>146</v>
      </c>
      <c r="G39" s="49" t="s">
        <v>146</v>
      </c>
      <c r="H39" s="49" t="s">
        <v>146</v>
      </c>
      <c r="I39" s="49" t="s">
        <v>146</v>
      </c>
      <c r="J39" s="49" t="s">
        <v>146</v>
      </c>
      <c r="K39" s="48" t="s">
        <v>145</v>
      </c>
      <c r="L39" s="50" t="s">
        <v>147</v>
      </c>
      <c r="M39" s="50" t="s">
        <v>147</v>
      </c>
      <c r="N39" s="49" t="s">
        <v>146</v>
      </c>
    </row>
    <row r="40" spans="1:14" ht="16.05" customHeight="1" x14ac:dyDescent="0.3">
      <c r="A40" s="51" t="s">
        <v>69</v>
      </c>
      <c r="B40" s="50" t="s">
        <v>147</v>
      </c>
      <c r="C40" s="50" t="s">
        <v>147</v>
      </c>
      <c r="D40" s="49" t="s">
        <v>146</v>
      </c>
      <c r="E40" s="49" t="s">
        <v>146</v>
      </c>
      <c r="F40" s="49" t="s">
        <v>146</v>
      </c>
      <c r="G40" s="49" t="s">
        <v>146</v>
      </c>
      <c r="H40" s="50" t="s">
        <v>147</v>
      </c>
      <c r="I40" s="49" t="s">
        <v>146</v>
      </c>
      <c r="J40" s="49" t="s">
        <v>146</v>
      </c>
      <c r="K40" s="50" t="s">
        <v>147</v>
      </c>
      <c r="L40" s="49" t="s">
        <v>146</v>
      </c>
      <c r="M40" s="48" t="s">
        <v>145</v>
      </c>
      <c r="N40" s="49" t="s">
        <v>146</v>
      </c>
    </row>
    <row r="41" spans="1:14" ht="16.05" customHeight="1" x14ac:dyDescent="0.3">
      <c r="A41" s="51" t="s">
        <v>105</v>
      </c>
      <c r="B41" s="49" t="s">
        <v>146</v>
      </c>
      <c r="C41" s="49" t="s">
        <v>146</v>
      </c>
      <c r="D41" s="49" t="s">
        <v>146</v>
      </c>
      <c r="E41" s="49" t="s">
        <v>146</v>
      </c>
      <c r="F41" s="49" t="s">
        <v>146</v>
      </c>
      <c r="G41" s="49" t="s">
        <v>146</v>
      </c>
      <c r="H41" s="49" t="s">
        <v>146</v>
      </c>
      <c r="I41" s="49" t="s">
        <v>146</v>
      </c>
      <c r="J41" s="48" t="s">
        <v>145</v>
      </c>
      <c r="K41" s="49" t="s">
        <v>146</v>
      </c>
      <c r="L41" s="50" t="s">
        <v>147</v>
      </c>
      <c r="M41" s="50" t="s">
        <v>147</v>
      </c>
      <c r="N41" s="50" t="s">
        <v>147</v>
      </c>
    </row>
    <row r="42" spans="1:14" ht="16.05" customHeight="1" x14ac:dyDescent="0.3">
      <c r="A42" s="51" t="s">
        <v>92</v>
      </c>
      <c r="B42" s="49" t="s">
        <v>146</v>
      </c>
      <c r="C42" s="49" t="s">
        <v>146</v>
      </c>
      <c r="D42" s="49" t="s">
        <v>146</v>
      </c>
      <c r="E42" s="50" t="s">
        <v>147</v>
      </c>
      <c r="F42" s="49" t="s">
        <v>146</v>
      </c>
      <c r="G42" s="49" t="s">
        <v>146</v>
      </c>
      <c r="H42" s="49" t="s">
        <v>146</v>
      </c>
      <c r="I42" s="50" t="s">
        <v>147</v>
      </c>
      <c r="J42" s="50" t="s">
        <v>147</v>
      </c>
      <c r="K42" s="49" t="s">
        <v>146</v>
      </c>
      <c r="L42" s="49" t="s">
        <v>146</v>
      </c>
      <c r="M42" s="49" t="s">
        <v>146</v>
      </c>
      <c r="N42" s="49" t="s">
        <v>146</v>
      </c>
    </row>
    <row r="43" spans="1:14" ht="16.05" customHeight="1" x14ac:dyDescent="0.3">
      <c r="A43" s="51" t="s">
        <v>73</v>
      </c>
      <c r="B43" s="49" t="s">
        <v>146</v>
      </c>
      <c r="C43" s="50" t="s">
        <v>147</v>
      </c>
      <c r="D43" s="50" t="s">
        <v>147</v>
      </c>
      <c r="E43" s="49" t="s">
        <v>146</v>
      </c>
      <c r="F43" s="49" t="s">
        <v>146</v>
      </c>
      <c r="G43" s="50" t="s">
        <v>147</v>
      </c>
      <c r="H43" s="49" t="s">
        <v>146</v>
      </c>
      <c r="I43" s="48" t="s">
        <v>145</v>
      </c>
      <c r="J43" s="49" t="s">
        <v>146</v>
      </c>
      <c r="K43" s="49" t="s">
        <v>146</v>
      </c>
      <c r="L43" s="50" t="s">
        <v>147</v>
      </c>
      <c r="M43" s="49" t="s">
        <v>146</v>
      </c>
      <c r="N43" s="50" t="s">
        <v>147</v>
      </c>
    </row>
    <row r="44" spans="1:14" ht="16.05" customHeight="1" x14ac:dyDescent="0.3">
      <c r="A44" s="51" t="s">
        <v>77</v>
      </c>
      <c r="B44" s="49" t="s">
        <v>146</v>
      </c>
      <c r="C44" s="50" t="s">
        <v>147</v>
      </c>
      <c r="D44" s="49" t="s">
        <v>146</v>
      </c>
      <c r="E44" s="49" t="s">
        <v>146</v>
      </c>
      <c r="F44" s="49" t="s">
        <v>146</v>
      </c>
      <c r="G44" s="49" t="s">
        <v>146</v>
      </c>
      <c r="H44" s="50" t="s">
        <v>147</v>
      </c>
      <c r="I44" s="49" t="s">
        <v>146</v>
      </c>
      <c r="J44" s="49" t="s">
        <v>146</v>
      </c>
      <c r="K44" s="49" t="s">
        <v>146</v>
      </c>
      <c r="L44" s="49" t="s">
        <v>146</v>
      </c>
      <c r="M44" s="50" t="s">
        <v>147</v>
      </c>
      <c r="N44" s="49" t="s">
        <v>146</v>
      </c>
    </row>
    <row r="45" spans="1:14" ht="16.05" customHeight="1" x14ac:dyDescent="0.3">
      <c r="A45" s="51" t="s">
        <v>100</v>
      </c>
      <c r="B45" s="49" t="s">
        <v>146</v>
      </c>
      <c r="C45" s="49" t="s">
        <v>146</v>
      </c>
      <c r="D45" s="49" t="s">
        <v>146</v>
      </c>
      <c r="E45" s="49" t="s">
        <v>146</v>
      </c>
      <c r="F45" s="49" t="s">
        <v>146</v>
      </c>
      <c r="G45" s="49" t="s">
        <v>146</v>
      </c>
      <c r="H45" s="50" t="s">
        <v>147</v>
      </c>
      <c r="I45" s="49" t="s">
        <v>146</v>
      </c>
      <c r="J45" s="50" t="s">
        <v>147</v>
      </c>
      <c r="K45" s="50" t="s">
        <v>147</v>
      </c>
      <c r="L45" s="50" t="s">
        <v>147</v>
      </c>
      <c r="M45" s="49" t="s">
        <v>146</v>
      </c>
      <c r="N45" s="49" t="s">
        <v>146</v>
      </c>
    </row>
    <row r="46" spans="1:14" ht="16.05" customHeight="1" x14ac:dyDescent="0.3">
      <c r="A46" s="51" t="s">
        <v>78</v>
      </c>
      <c r="B46" s="49" t="s">
        <v>146</v>
      </c>
      <c r="C46" s="50" t="s">
        <v>147</v>
      </c>
      <c r="D46" s="49" t="s">
        <v>146</v>
      </c>
      <c r="E46" s="50" t="s">
        <v>147</v>
      </c>
      <c r="F46" s="49" t="s">
        <v>146</v>
      </c>
      <c r="G46" s="49" t="s">
        <v>146</v>
      </c>
      <c r="H46" s="50" t="s">
        <v>147</v>
      </c>
      <c r="I46" s="48" t="s">
        <v>145</v>
      </c>
      <c r="J46" s="49" t="s">
        <v>146</v>
      </c>
      <c r="K46" s="50" t="s">
        <v>147</v>
      </c>
      <c r="L46" s="50" t="s">
        <v>147</v>
      </c>
      <c r="M46" s="49" t="s">
        <v>146</v>
      </c>
      <c r="N46" s="50" t="s">
        <v>147</v>
      </c>
    </row>
    <row r="47" spans="1:14" ht="16.05" customHeight="1" x14ac:dyDescent="0.3">
      <c r="A47" s="51" t="s">
        <v>65</v>
      </c>
      <c r="B47" s="50" t="s">
        <v>147</v>
      </c>
      <c r="C47" s="49" t="s">
        <v>146</v>
      </c>
      <c r="D47" s="49" t="s">
        <v>146</v>
      </c>
      <c r="E47" s="50" t="s">
        <v>147</v>
      </c>
      <c r="F47" s="49" t="s">
        <v>146</v>
      </c>
      <c r="G47" s="49" t="s">
        <v>146</v>
      </c>
      <c r="H47" s="49" t="s">
        <v>146</v>
      </c>
      <c r="I47" s="49" t="s">
        <v>146</v>
      </c>
      <c r="J47" s="49" t="s">
        <v>146</v>
      </c>
      <c r="K47" s="49" t="s">
        <v>146</v>
      </c>
      <c r="L47" s="49" t="s">
        <v>146</v>
      </c>
      <c r="M47" s="50" t="s">
        <v>147</v>
      </c>
      <c r="N47" s="49" t="s">
        <v>146</v>
      </c>
    </row>
    <row r="48" spans="1:14" ht="16.05" customHeight="1" x14ac:dyDescent="0.3">
      <c r="A48" s="51" t="s">
        <v>74</v>
      </c>
      <c r="B48" s="49" t="s">
        <v>146</v>
      </c>
      <c r="C48" s="50" t="s">
        <v>147</v>
      </c>
      <c r="D48" s="49" t="s">
        <v>146</v>
      </c>
      <c r="E48" s="49" t="s">
        <v>146</v>
      </c>
      <c r="F48" s="49" t="s">
        <v>146</v>
      </c>
      <c r="G48" s="49" t="s">
        <v>146</v>
      </c>
      <c r="H48" s="50" t="s">
        <v>147</v>
      </c>
      <c r="I48" s="49" t="s">
        <v>146</v>
      </c>
      <c r="J48" s="49" t="s">
        <v>146</v>
      </c>
      <c r="K48" s="50" t="s">
        <v>147</v>
      </c>
      <c r="L48" s="49" t="s">
        <v>146</v>
      </c>
      <c r="M48" s="50" t="s">
        <v>147</v>
      </c>
      <c r="N48" s="50" t="s">
        <v>147</v>
      </c>
    </row>
    <row r="49" spans="1:14" ht="16.05" customHeight="1" x14ac:dyDescent="0.3">
      <c r="A49" s="51" t="s">
        <v>61</v>
      </c>
      <c r="B49" s="50" t="s">
        <v>147</v>
      </c>
      <c r="C49" s="50" t="s">
        <v>147</v>
      </c>
      <c r="D49" s="50" t="s">
        <v>147</v>
      </c>
      <c r="E49" s="50" t="s">
        <v>147</v>
      </c>
      <c r="F49" s="49" t="s">
        <v>146</v>
      </c>
      <c r="G49" s="49" t="s">
        <v>146</v>
      </c>
      <c r="H49" s="49" t="s">
        <v>146</v>
      </c>
      <c r="I49" s="49" t="s">
        <v>146</v>
      </c>
      <c r="J49" s="49" t="s">
        <v>146</v>
      </c>
      <c r="K49" s="50" t="s">
        <v>147</v>
      </c>
      <c r="L49" s="50" t="s">
        <v>147</v>
      </c>
      <c r="M49" s="49" t="s">
        <v>146</v>
      </c>
      <c r="N49" s="50" t="s">
        <v>147</v>
      </c>
    </row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1"/>
  <sheetViews>
    <sheetView showGridLines="0" workbookViewId="0"/>
  </sheetViews>
  <sheetFormatPr baseColWidth="10" defaultColWidth="8.88671875" defaultRowHeight="14.4" x14ac:dyDescent="0.3"/>
  <cols>
    <col min="1" max="1" width="6" customWidth="1"/>
    <col min="2" max="3" width="20" customWidth="1"/>
    <col min="4" max="4" width="22" customWidth="1"/>
    <col min="5" max="5" width="20" customWidth="1"/>
    <col min="6" max="6" width="18" customWidth="1"/>
    <col min="7" max="7" width="32" customWidth="1"/>
  </cols>
  <sheetData>
    <row r="1" spans="1:7" ht="37.950000000000003" customHeight="1" x14ac:dyDescent="0.3">
      <c r="A1" s="87" t="s">
        <v>148</v>
      </c>
      <c r="B1" s="88"/>
      <c r="C1" s="88"/>
      <c r="D1" s="88"/>
      <c r="E1" s="88"/>
      <c r="F1" s="88"/>
      <c r="G1" s="88"/>
    </row>
    <row r="2" spans="1:7" x14ac:dyDescent="0.3">
      <c r="A2" s="93" t="s">
        <v>149</v>
      </c>
      <c r="B2" s="88"/>
      <c r="C2" s="88"/>
      <c r="D2" s="88"/>
      <c r="E2" s="88"/>
      <c r="F2" s="88"/>
      <c r="G2" s="88"/>
    </row>
    <row r="4" spans="1:7" x14ac:dyDescent="0.3">
      <c r="A4" s="92" t="s">
        <v>150</v>
      </c>
      <c r="B4" s="88"/>
      <c r="C4" s="88"/>
      <c r="D4" s="88"/>
      <c r="E4" s="88"/>
      <c r="F4" s="88"/>
      <c r="G4" s="88"/>
    </row>
    <row r="5" spans="1:7" ht="19.95" customHeight="1" x14ac:dyDescent="0.3">
      <c r="A5" s="52" t="s">
        <v>151</v>
      </c>
      <c r="B5" s="111" t="s">
        <v>152</v>
      </c>
      <c r="C5" s="88"/>
      <c r="D5" s="115" t="s">
        <v>153</v>
      </c>
      <c r="E5" s="88"/>
      <c r="F5" s="88"/>
      <c r="G5" s="88"/>
    </row>
    <row r="6" spans="1:7" ht="19.95" customHeight="1" x14ac:dyDescent="0.3">
      <c r="A6" s="53" t="s">
        <v>154</v>
      </c>
      <c r="B6" s="107" t="s">
        <v>155</v>
      </c>
      <c r="C6" s="88"/>
      <c r="D6" s="112" t="s">
        <v>156</v>
      </c>
      <c r="E6" s="88"/>
      <c r="F6" s="88"/>
      <c r="G6" s="88"/>
    </row>
    <row r="7" spans="1:7" ht="19.95" customHeight="1" x14ac:dyDescent="0.3">
      <c r="A7" s="54" t="s">
        <v>157</v>
      </c>
      <c r="B7" s="110" t="s">
        <v>158</v>
      </c>
      <c r="C7" s="88"/>
      <c r="D7" s="114" t="s">
        <v>159</v>
      </c>
      <c r="E7" s="88"/>
      <c r="F7" s="88"/>
      <c r="G7" s="88"/>
    </row>
    <row r="8" spans="1:7" ht="19.95" customHeight="1" x14ac:dyDescent="0.3">
      <c r="A8" s="48" t="s">
        <v>160</v>
      </c>
      <c r="B8" s="116" t="s">
        <v>161</v>
      </c>
      <c r="C8" s="88"/>
      <c r="D8" s="113" t="s">
        <v>162</v>
      </c>
      <c r="E8" s="88"/>
      <c r="F8" s="88"/>
      <c r="G8" s="88"/>
    </row>
    <row r="10" spans="1:7" ht="24" customHeight="1" x14ac:dyDescent="0.3">
      <c r="A10" s="105" t="s">
        <v>163</v>
      </c>
      <c r="B10" s="88"/>
      <c r="C10" s="88"/>
      <c r="D10" s="88"/>
      <c r="E10" s="88"/>
      <c r="F10" s="88"/>
      <c r="G10" s="88"/>
    </row>
    <row r="11" spans="1:7" ht="28.05" customHeight="1" x14ac:dyDescent="0.3">
      <c r="A11" s="55" t="s">
        <v>131</v>
      </c>
      <c r="B11" s="55" t="s">
        <v>47</v>
      </c>
      <c r="C11" s="55" t="s">
        <v>164</v>
      </c>
      <c r="D11" s="55" t="s">
        <v>165</v>
      </c>
      <c r="E11" s="55" t="s">
        <v>166</v>
      </c>
      <c r="F11" s="55" t="s">
        <v>167</v>
      </c>
      <c r="G11" s="55" t="s">
        <v>168</v>
      </c>
    </row>
    <row r="12" spans="1:7" ht="18" customHeight="1" x14ac:dyDescent="0.3">
      <c r="A12" s="56">
        <v>1</v>
      </c>
      <c r="B12" s="57" t="s">
        <v>54</v>
      </c>
      <c r="C12" s="58">
        <v>6.0868000000000002</v>
      </c>
      <c r="D12" s="59">
        <v>13.55</v>
      </c>
      <c r="E12" s="60">
        <v>135464</v>
      </c>
      <c r="F12" s="56">
        <v>8</v>
      </c>
      <c r="G12" s="61" t="s">
        <v>169</v>
      </c>
    </row>
    <row r="13" spans="1:7" ht="18" customHeight="1" x14ac:dyDescent="0.3">
      <c r="A13" s="62">
        <v>2</v>
      </c>
      <c r="B13" s="63" t="s">
        <v>67</v>
      </c>
      <c r="C13" s="64">
        <v>5.8221999999999996</v>
      </c>
      <c r="D13" s="65">
        <v>12.96</v>
      </c>
      <c r="E13" s="66">
        <v>129575</v>
      </c>
      <c r="F13" s="62">
        <v>8</v>
      </c>
      <c r="G13" s="67" t="s">
        <v>170</v>
      </c>
    </row>
    <row r="14" spans="1:7" ht="18" customHeight="1" x14ac:dyDescent="0.3">
      <c r="A14" s="56">
        <v>3</v>
      </c>
      <c r="B14" s="57" t="s">
        <v>59</v>
      </c>
      <c r="C14" s="58">
        <v>4.9368999999999996</v>
      </c>
      <c r="D14" s="59">
        <v>10.99</v>
      </c>
      <c r="E14" s="60">
        <v>109873</v>
      </c>
      <c r="F14" s="56">
        <v>9</v>
      </c>
      <c r="G14" s="61" t="s">
        <v>171</v>
      </c>
    </row>
    <row r="15" spans="1:7" ht="18" customHeight="1" x14ac:dyDescent="0.3">
      <c r="A15" s="62">
        <v>4</v>
      </c>
      <c r="B15" s="63" t="s">
        <v>71</v>
      </c>
      <c r="C15" s="64">
        <v>3.9361000000000002</v>
      </c>
      <c r="D15" s="65">
        <v>8.76</v>
      </c>
      <c r="E15" s="66">
        <v>87599</v>
      </c>
      <c r="F15" s="62">
        <v>5</v>
      </c>
      <c r="G15" s="67" t="s">
        <v>172</v>
      </c>
    </row>
    <row r="16" spans="1:7" ht="18" customHeight="1" x14ac:dyDescent="0.3">
      <c r="A16" s="56">
        <v>5</v>
      </c>
      <c r="B16" s="57" t="s">
        <v>57</v>
      </c>
      <c r="C16" s="58">
        <v>2.8060999999999998</v>
      </c>
      <c r="D16" s="59">
        <v>6.25</v>
      </c>
      <c r="E16" s="60">
        <v>62451</v>
      </c>
      <c r="F16" s="56">
        <v>7</v>
      </c>
      <c r="G16" s="61" t="s">
        <v>173</v>
      </c>
    </row>
    <row r="17" spans="1:7" ht="18" customHeight="1" x14ac:dyDescent="0.3">
      <c r="A17" s="62">
        <v>6</v>
      </c>
      <c r="B17" s="63" t="s">
        <v>72</v>
      </c>
      <c r="C17" s="64">
        <v>2.5265</v>
      </c>
      <c r="D17" s="65">
        <v>5.62</v>
      </c>
      <c r="E17" s="66">
        <v>56228</v>
      </c>
      <c r="F17" s="62">
        <v>7</v>
      </c>
      <c r="G17" s="67" t="s">
        <v>174</v>
      </c>
    </row>
    <row r="18" spans="1:7" ht="18" customHeight="1" x14ac:dyDescent="0.3">
      <c r="A18" s="56">
        <v>7</v>
      </c>
      <c r="B18" s="57" t="s">
        <v>103</v>
      </c>
      <c r="C18" s="58">
        <v>2.5179999999999998</v>
      </c>
      <c r="D18" s="59">
        <v>5.6</v>
      </c>
      <c r="E18" s="60">
        <v>56038</v>
      </c>
      <c r="F18" s="56">
        <v>3</v>
      </c>
      <c r="G18" s="61" t="s">
        <v>175</v>
      </c>
    </row>
    <row r="19" spans="1:7" ht="18" customHeight="1" x14ac:dyDescent="0.3">
      <c r="A19" s="62">
        <v>8</v>
      </c>
      <c r="B19" s="63" t="s">
        <v>62</v>
      </c>
      <c r="C19" s="64">
        <v>2.1852</v>
      </c>
      <c r="D19" s="65">
        <v>4.8600000000000003</v>
      </c>
      <c r="E19" s="66">
        <v>48631</v>
      </c>
      <c r="F19" s="62">
        <v>6</v>
      </c>
      <c r="G19" s="67" t="s">
        <v>176</v>
      </c>
    </row>
    <row r="20" spans="1:7" ht="18" customHeight="1" x14ac:dyDescent="0.3">
      <c r="A20" s="56">
        <v>9</v>
      </c>
      <c r="B20" s="57" t="s">
        <v>68</v>
      </c>
      <c r="C20" s="58">
        <v>2.0123000000000002</v>
      </c>
      <c r="D20" s="59">
        <v>4.4800000000000004</v>
      </c>
      <c r="E20" s="60">
        <v>44784</v>
      </c>
      <c r="F20" s="56">
        <v>6</v>
      </c>
      <c r="G20" s="61" t="s">
        <v>177</v>
      </c>
    </row>
    <row r="21" spans="1:7" ht="18" customHeight="1" x14ac:dyDescent="0.3">
      <c r="A21" s="62">
        <v>10</v>
      </c>
      <c r="B21" s="63" t="s">
        <v>84</v>
      </c>
      <c r="C21" s="64">
        <v>1.7745</v>
      </c>
      <c r="D21" s="65">
        <v>3.95</v>
      </c>
      <c r="E21" s="66">
        <v>39492</v>
      </c>
      <c r="F21" s="62">
        <v>2</v>
      </c>
      <c r="G21" s="67" t="s">
        <v>178</v>
      </c>
    </row>
    <row r="22" spans="1:7" ht="18" customHeight="1" x14ac:dyDescent="0.3">
      <c r="A22" s="56">
        <v>11</v>
      </c>
      <c r="B22" s="57" t="s">
        <v>89</v>
      </c>
      <c r="C22" s="58">
        <v>1.6272</v>
      </c>
      <c r="D22" s="59">
        <v>3.62</v>
      </c>
      <c r="E22" s="60">
        <v>36213</v>
      </c>
      <c r="F22" s="56">
        <v>4</v>
      </c>
      <c r="G22" s="61" t="s">
        <v>179</v>
      </c>
    </row>
    <row r="23" spans="1:7" ht="18" customHeight="1" x14ac:dyDescent="0.3">
      <c r="A23" s="62">
        <v>12</v>
      </c>
      <c r="B23" s="63" t="s">
        <v>81</v>
      </c>
      <c r="C23" s="64">
        <v>1.5820000000000001</v>
      </c>
      <c r="D23" s="65">
        <v>3.52</v>
      </c>
      <c r="E23" s="66">
        <v>35208</v>
      </c>
      <c r="F23" s="62">
        <v>4</v>
      </c>
      <c r="G23" s="67" t="s">
        <v>179</v>
      </c>
    </row>
    <row r="24" spans="1:7" ht="18" customHeight="1" x14ac:dyDescent="0.3">
      <c r="A24" s="56">
        <v>13</v>
      </c>
      <c r="B24" s="57" t="s">
        <v>52</v>
      </c>
      <c r="C24" s="58">
        <v>1.5592999999999999</v>
      </c>
      <c r="D24" s="59">
        <v>3.47</v>
      </c>
      <c r="E24" s="60">
        <v>34702</v>
      </c>
      <c r="F24" s="56">
        <v>3</v>
      </c>
      <c r="G24" s="61" t="s">
        <v>179</v>
      </c>
    </row>
    <row r="25" spans="1:7" ht="18" customHeight="1" x14ac:dyDescent="0.3">
      <c r="A25" s="62">
        <v>14</v>
      </c>
      <c r="B25" s="63" t="s">
        <v>91</v>
      </c>
      <c r="C25" s="64">
        <v>1.4400999999999999</v>
      </c>
      <c r="D25" s="65">
        <v>3.2</v>
      </c>
      <c r="E25" s="66">
        <v>32050</v>
      </c>
      <c r="F25" s="62">
        <v>2</v>
      </c>
      <c r="G25" s="67" t="s">
        <v>179</v>
      </c>
    </row>
    <row r="26" spans="1:7" ht="18" customHeight="1" x14ac:dyDescent="0.3">
      <c r="A26" s="56">
        <v>15</v>
      </c>
      <c r="B26" s="57" t="s">
        <v>99</v>
      </c>
      <c r="C26" s="58">
        <v>1.2506999999999999</v>
      </c>
      <c r="D26" s="59">
        <v>2.78</v>
      </c>
      <c r="E26" s="60">
        <v>27835</v>
      </c>
      <c r="F26" s="56">
        <v>2</v>
      </c>
      <c r="G26" s="61" t="s">
        <v>179</v>
      </c>
    </row>
    <row r="27" spans="1:7" ht="18" customHeight="1" x14ac:dyDescent="0.3">
      <c r="A27" s="62">
        <v>16</v>
      </c>
      <c r="B27" s="63" t="s">
        <v>107</v>
      </c>
      <c r="C27" s="64">
        <v>1.0773999999999999</v>
      </c>
      <c r="D27" s="65">
        <v>2.4</v>
      </c>
      <c r="E27" s="66">
        <v>23977</v>
      </c>
      <c r="F27" s="62">
        <v>1</v>
      </c>
      <c r="G27" s="67" t="s">
        <v>179</v>
      </c>
    </row>
    <row r="28" spans="1:7" ht="18" customHeight="1" x14ac:dyDescent="0.3">
      <c r="A28" s="56">
        <v>17</v>
      </c>
      <c r="B28" s="57" t="s">
        <v>88</v>
      </c>
      <c r="C28" s="58">
        <v>0.49280000000000002</v>
      </c>
      <c r="D28" s="59">
        <v>1.1000000000000001</v>
      </c>
      <c r="E28" s="60">
        <v>10967</v>
      </c>
      <c r="F28" s="56">
        <v>2</v>
      </c>
      <c r="G28" s="61" t="s">
        <v>179</v>
      </c>
    </row>
    <row r="29" spans="1:7" ht="18" customHeight="1" x14ac:dyDescent="0.3">
      <c r="A29" s="62">
        <v>18</v>
      </c>
      <c r="B29" s="63" t="s">
        <v>82</v>
      </c>
      <c r="C29" s="64">
        <v>0.4345</v>
      </c>
      <c r="D29" s="65">
        <v>0.97</v>
      </c>
      <c r="E29" s="66">
        <v>9670</v>
      </c>
      <c r="F29" s="62">
        <v>4</v>
      </c>
      <c r="G29" s="67" t="s">
        <v>179</v>
      </c>
    </row>
    <row r="30" spans="1:7" ht="18" customHeight="1" x14ac:dyDescent="0.3">
      <c r="A30" s="56">
        <v>19</v>
      </c>
      <c r="B30" s="57" t="s">
        <v>53</v>
      </c>
      <c r="C30" s="58">
        <v>0.38300000000000001</v>
      </c>
      <c r="D30" s="59">
        <v>0.85</v>
      </c>
      <c r="E30" s="60">
        <v>8523</v>
      </c>
      <c r="F30" s="56">
        <v>3</v>
      </c>
      <c r="G30" s="61" t="s">
        <v>179</v>
      </c>
    </row>
    <row r="31" spans="1:7" ht="18" customHeight="1" x14ac:dyDescent="0.3">
      <c r="A31" s="62">
        <v>20</v>
      </c>
      <c r="B31" s="63" t="s">
        <v>55</v>
      </c>
      <c r="C31" s="64">
        <v>0.19589999999999999</v>
      </c>
      <c r="D31" s="65">
        <v>0.44</v>
      </c>
      <c r="E31" s="66">
        <v>4359</v>
      </c>
      <c r="F31" s="62">
        <v>2</v>
      </c>
      <c r="G31" s="67" t="s">
        <v>179</v>
      </c>
    </row>
    <row r="32" spans="1:7" ht="18" customHeight="1" x14ac:dyDescent="0.3">
      <c r="A32" s="56">
        <v>21</v>
      </c>
      <c r="B32" s="57" t="s">
        <v>58</v>
      </c>
      <c r="C32" s="58">
        <v>0.14530000000000001</v>
      </c>
      <c r="D32" s="59">
        <v>0.32</v>
      </c>
      <c r="E32" s="60">
        <v>3234</v>
      </c>
      <c r="F32" s="56">
        <v>2</v>
      </c>
      <c r="G32" s="61" t="s">
        <v>179</v>
      </c>
    </row>
    <row r="33" spans="1:7" ht="18" customHeight="1" x14ac:dyDescent="0.3">
      <c r="A33" s="62">
        <v>22</v>
      </c>
      <c r="B33" s="63" t="s">
        <v>51</v>
      </c>
      <c r="C33" s="64">
        <v>9.5699999999999993E-2</v>
      </c>
      <c r="D33" s="65">
        <v>0.21</v>
      </c>
      <c r="E33" s="66">
        <v>2130</v>
      </c>
      <c r="F33" s="62">
        <v>1</v>
      </c>
      <c r="G33" s="67" t="s">
        <v>179</v>
      </c>
    </row>
    <row r="34" spans="1:7" ht="18" customHeight="1" x14ac:dyDescent="0.3">
      <c r="A34" s="56">
        <v>23</v>
      </c>
      <c r="B34" s="57" t="s">
        <v>66</v>
      </c>
      <c r="C34" s="58">
        <v>3.9E-2</v>
      </c>
      <c r="D34" s="59">
        <v>0.09</v>
      </c>
      <c r="E34" s="60">
        <v>867</v>
      </c>
      <c r="F34" s="56">
        <v>4</v>
      </c>
      <c r="G34" s="61" t="s">
        <v>179</v>
      </c>
    </row>
    <row r="35" spans="1:7" ht="18" customHeight="1" x14ac:dyDescent="0.3">
      <c r="A35" s="62">
        <v>24</v>
      </c>
      <c r="B35" s="63" t="s">
        <v>95</v>
      </c>
      <c r="C35" s="64">
        <v>5.7999999999999996E-3</v>
      </c>
      <c r="D35" s="65">
        <v>0.01</v>
      </c>
      <c r="E35" s="66">
        <v>128</v>
      </c>
      <c r="F35" s="62">
        <v>1</v>
      </c>
      <c r="G35" s="67" t="s">
        <v>179</v>
      </c>
    </row>
    <row r="36" spans="1:7" x14ac:dyDescent="0.3">
      <c r="A36" s="108" t="s">
        <v>180</v>
      </c>
      <c r="B36" s="88"/>
      <c r="C36" s="88"/>
      <c r="D36" s="68">
        <f>SUM(D12:D35)</f>
        <v>100</v>
      </c>
      <c r="E36" s="69">
        <f>SUM(E12:E35)</f>
        <v>999998</v>
      </c>
      <c r="F36" s="16"/>
      <c r="G36" s="16"/>
    </row>
    <row r="39" spans="1:7" ht="24" customHeight="1" x14ac:dyDescent="0.3">
      <c r="A39" s="106" t="s">
        <v>181</v>
      </c>
      <c r="B39" s="88"/>
      <c r="C39" s="88"/>
      <c r="D39" s="88"/>
      <c r="E39" s="88"/>
      <c r="F39" s="88"/>
      <c r="G39" s="88"/>
    </row>
    <row r="40" spans="1:7" ht="28.05" customHeight="1" x14ac:dyDescent="0.3">
      <c r="A40" s="55" t="s">
        <v>131</v>
      </c>
      <c r="B40" s="55" t="s">
        <v>47</v>
      </c>
      <c r="C40" s="55" t="s">
        <v>164</v>
      </c>
      <c r="D40" s="55" t="s">
        <v>182</v>
      </c>
      <c r="E40" s="55" t="s">
        <v>183</v>
      </c>
      <c r="F40" s="55" t="s">
        <v>184</v>
      </c>
      <c r="G40" s="55"/>
    </row>
    <row r="41" spans="1:7" ht="18" customHeight="1" x14ac:dyDescent="0.3">
      <c r="A41" s="70">
        <v>1</v>
      </c>
      <c r="B41" s="71" t="s">
        <v>61</v>
      </c>
      <c r="C41" s="72">
        <v>-5.4748000000000001</v>
      </c>
      <c r="D41" s="73">
        <v>12.18</v>
      </c>
      <c r="E41" s="74">
        <v>121843</v>
      </c>
      <c r="F41" s="75">
        <v>7</v>
      </c>
      <c r="G41" s="76"/>
    </row>
    <row r="42" spans="1:7" ht="18" customHeight="1" x14ac:dyDescent="0.3">
      <c r="A42" s="77">
        <v>2</v>
      </c>
      <c r="B42" s="78" t="s">
        <v>74</v>
      </c>
      <c r="C42" s="79">
        <v>-4.4561999999999999</v>
      </c>
      <c r="D42" s="80">
        <v>9.92</v>
      </c>
      <c r="E42" s="81">
        <v>99174</v>
      </c>
      <c r="F42" s="82">
        <v>5</v>
      </c>
      <c r="G42" s="83"/>
    </row>
    <row r="43" spans="1:7" ht="18" customHeight="1" x14ac:dyDescent="0.3">
      <c r="A43" s="70">
        <v>3</v>
      </c>
      <c r="B43" s="71" t="s">
        <v>65</v>
      </c>
      <c r="C43" s="72">
        <v>-3.9628000000000001</v>
      </c>
      <c r="D43" s="73">
        <v>8.82</v>
      </c>
      <c r="E43" s="74">
        <v>88192</v>
      </c>
      <c r="F43" s="75">
        <v>3</v>
      </c>
      <c r="G43" s="76"/>
    </row>
    <row r="44" spans="1:7" ht="18" customHeight="1" x14ac:dyDescent="0.3">
      <c r="A44" s="77">
        <v>4</v>
      </c>
      <c r="B44" s="78" t="s">
        <v>78</v>
      </c>
      <c r="C44" s="79">
        <v>-3.4226999999999999</v>
      </c>
      <c r="D44" s="80">
        <v>7.62</v>
      </c>
      <c r="E44" s="81">
        <v>76173</v>
      </c>
      <c r="F44" s="82">
        <v>6</v>
      </c>
      <c r="G44" s="83"/>
    </row>
    <row r="45" spans="1:7" ht="18" customHeight="1" x14ac:dyDescent="0.3">
      <c r="A45" s="70">
        <v>5</v>
      </c>
      <c r="B45" s="71" t="s">
        <v>100</v>
      </c>
      <c r="C45" s="72">
        <v>-3.1905999999999999</v>
      </c>
      <c r="D45" s="73">
        <v>7.1</v>
      </c>
      <c r="E45" s="74">
        <v>71007</v>
      </c>
      <c r="F45" s="75">
        <v>4</v>
      </c>
      <c r="G45" s="76"/>
    </row>
    <row r="46" spans="1:7" ht="18" customHeight="1" x14ac:dyDescent="0.3">
      <c r="A46" s="77">
        <v>6</v>
      </c>
      <c r="B46" s="78" t="s">
        <v>77</v>
      </c>
      <c r="C46" s="79">
        <v>-2.8755000000000002</v>
      </c>
      <c r="D46" s="80">
        <v>6.4</v>
      </c>
      <c r="E46" s="81">
        <v>63996</v>
      </c>
      <c r="F46" s="82">
        <v>3</v>
      </c>
      <c r="G46" s="83"/>
    </row>
    <row r="47" spans="1:7" ht="18" customHeight="1" x14ac:dyDescent="0.3">
      <c r="A47" s="70">
        <v>7</v>
      </c>
      <c r="B47" s="71" t="s">
        <v>73</v>
      </c>
      <c r="C47" s="72">
        <v>-2.6797</v>
      </c>
      <c r="D47" s="73">
        <v>5.96</v>
      </c>
      <c r="E47" s="74">
        <v>59637</v>
      </c>
      <c r="F47" s="75">
        <v>5</v>
      </c>
      <c r="G47" s="76"/>
    </row>
    <row r="48" spans="1:7" ht="18" customHeight="1" x14ac:dyDescent="0.3">
      <c r="A48" s="77">
        <v>8</v>
      </c>
      <c r="B48" s="78" t="s">
        <v>92</v>
      </c>
      <c r="C48" s="79">
        <v>-2.1637</v>
      </c>
      <c r="D48" s="80">
        <v>4.82</v>
      </c>
      <c r="E48" s="81">
        <v>48153</v>
      </c>
      <c r="F48" s="82">
        <v>3</v>
      </c>
      <c r="G48" s="83"/>
    </row>
    <row r="49" spans="1:7" ht="18" customHeight="1" x14ac:dyDescent="0.3">
      <c r="A49" s="70">
        <v>9</v>
      </c>
      <c r="B49" s="71" t="s">
        <v>105</v>
      </c>
      <c r="C49" s="72">
        <v>-2.0817000000000001</v>
      </c>
      <c r="D49" s="73">
        <v>4.63</v>
      </c>
      <c r="E49" s="74">
        <v>46328</v>
      </c>
      <c r="F49" s="75">
        <v>3</v>
      </c>
      <c r="G49" s="76"/>
    </row>
    <row r="50" spans="1:7" ht="18" customHeight="1" x14ac:dyDescent="0.3">
      <c r="A50" s="77">
        <v>10</v>
      </c>
      <c r="B50" s="78" t="s">
        <v>69</v>
      </c>
      <c r="C50" s="79">
        <v>-1.8427</v>
      </c>
      <c r="D50" s="80">
        <v>4.0999999999999996</v>
      </c>
      <c r="E50" s="81">
        <v>41010</v>
      </c>
      <c r="F50" s="82">
        <v>4</v>
      </c>
      <c r="G50" s="83"/>
    </row>
    <row r="51" spans="1:7" ht="18" customHeight="1" x14ac:dyDescent="0.3">
      <c r="A51" s="70">
        <v>11</v>
      </c>
      <c r="B51" s="71" t="s">
        <v>79</v>
      </c>
      <c r="C51" s="72">
        <v>-1.7829999999999999</v>
      </c>
      <c r="D51" s="73">
        <v>3.97</v>
      </c>
      <c r="E51" s="74">
        <v>39682</v>
      </c>
      <c r="F51" s="75">
        <v>3</v>
      </c>
      <c r="G51" s="76"/>
    </row>
    <row r="52" spans="1:7" ht="18" customHeight="1" x14ac:dyDescent="0.3">
      <c r="A52" s="77">
        <v>12</v>
      </c>
      <c r="B52" s="78" t="s">
        <v>96</v>
      </c>
      <c r="C52" s="79">
        <v>-1.7399</v>
      </c>
      <c r="D52" s="80">
        <v>3.87</v>
      </c>
      <c r="E52" s="81">
        <v>38722</v>
      </c>
      <c r="F52" s="82">
        <v>3</v>
      </c>
      <c r="G52" s="83"/>
    </row>
    <row r="53" spans="1:7" ht="18" customHeight="1" x14ac:dyDescent="0.3">
      <c r="A53" s="70">
        <v>13</v>
      </c>
      <c r="B53" s="71" t="s">
        <v>90</v>
      </c>
      <c r="C53" s="72">
        <v>-1.716</v>
      </c>
      <c r="D53" s="73">
        <v>3.82</v>
      </c>
      <c r="E53" s="74">
        <v>38189</v>
      </c>
      <c r="F53" s="75">
        <v>4</v>
      </c>
      <c r="G53" s="76"/>
    </row>
    <row r="54" spans="1:7" ht="18" customHeight="1" x14ac:dyDescent="0.3">
      <c r="A54" s="77">
        <v>14</v>
      </c>
      <c r="B54" s="78" t="s">
        <v>75</v>
      </c>
      <c r="C54" s="79">
        <v>-1.6133999999999999</v>
      </c>
      <c r="D54" s="80">
        <v>3.59</v>
      </c>
      <c r="E54" s="81">
        <v>35906</v>
      </c>
      <c r="F54" s="82">
        <v>4</v>
      </c>
      <c r="G54" s="83"/>
    </row>
    <row r="55" spans="1:7" ht="18" customHeight="1" x14ac:dyDescent="0.3">
      <c r="A55" s="70">
        <v>15</v>
      </c>
      <c r="B55" s="71" t="s">
        <v>76</v>
      </c>
      <c r="C55" s="72">
        <v>-1.4085000000000001</v>
      </c>
      <c r="D55" s="73">
        <v>3.13</v>
      </c>
      <c r="E55" s="74">
        <v>31347</v>
      </c>
      <c r="F55" s="75">
        <v>3</v>
      </c>
      <c r="G55" s="76"/>
    </row>
    <row r="56" spans="1:7" ht="18" customHeight="1" x14ac:dyDescent="0.3">
      <c r="A56" s="77">
        <v>16</v>
      </c>
      <c r="B56" s="78" t="s">
        <v>93</v>
      </c>
      <c r="C56" s="79">
        <v>-0.86599999999999999</v>
      </c>
      <c r="D56" s="80">
        <v>1.93</v>
      </c>
      <c r="E56" s="81">
        <v>19274</v>
      </c>
      <c r="F56" s="82">
        <v>3</v>
      </c>
      <c r="G56" s="83"/>
    </row>
    <row r="57" spans="1:7" ht="18" customHeight="1" x14ac:dyDescent="0.3">
      <c r="A57" s="70">
        <v>17</v>
      </c>
      <c r="B57" s="71" t="s">
        <v>102</v>
      </c>
      <c r="C57" s="72">
        <v>-0.73470000000000002</v>
      </c>
      <c r="D57" s="73">
        <v>1.64</v>
      </c>
      <c r="E57" s="74">
        <v>16352</v>
      </c>
      <c r="F57" s="75">
        <v>2</v>
      </c>
      <c r="G57" s="76"/>
    </row>
    <row r="58" spans="1:7" ht="18" customHeight="1" x14ac:dyDescent="0.3">
      <c r="A58" s="77">
        <v>18</v>
      </c>
      <c r="B58" s="78" t="s">
        <v>56</v>
      </c>
      <c r="C58" s="79">
        <v>-0.6643</v>
      </c>
      <c r="D58" s="80">
        <v>1.48</v>
      </c>
      <c r="E58" s="81">
        <v>14785</v>
      </c>
      <c r="F58" s="82">
        <v>3</v>
      </c>
      <c r="G58" s="83"/>
    </row>
    <row r="59" spans="1:7" ht="18" customHeight="1" x14ac:dyDescent="0.3">
      <c r="A59" s="70">
        <v>19</v>
      </c>
      <c r="B59" s="71" t="s">
        <v>63</v>
      </c>
      <c r="C59" s="72">
        <v>-0.64349999999999996</v>
      </c>
      <c r="D59" s="73">
        <v>1.43</v>
      </c>
      <c r="E59" s="74">
        <v>14320</v>
      </c>
      <c r="F59" s="75">
        <v>2</v>
      </c>
      <c r="G59" s="76"/>
    </row>
    <row r="60" spans="1:7" ht="18" customHeight="1" x14ac:dyDescent="0.3">
      <c r="A60" s="77">
        <v>20</v>
      </c>
      <c r="B60" s="78" t="s">
        <v>85</v>
      </c>
      <c r="C60" s="79">
        <v>-0.63739999999999997</v>
      </c>
      <c r="D60" s="80">
        <v>1.42</v>
      </c>
      <c r="E60" s="81">
        <v>14186</v>
      </c>
      <c r="F60" s="82">
        <v>1</v>
      </c>
      <c r="G60" s="83"/>
    </row>
    <row r="61" spans="1:7" ht="18" customHeight="1" x14ac:dyDescent="0.3">
      <c r="A61" s="70">
        <v>21</v>
      </c>
      <c r="B61" s="71" t="s">
        <v>86</v>
      </c>
      <c r="C61" s="72">
        <v>-0.63739999999999997</v>
      </c>
      <c r="D61" s="73">
        <v>1.42</v>
      </c>
      <c r="E61" s="74">
        <v>14186</v>
      </c>
      <c r="F61" s="75">
        <v>1</v>
      </c>
      <c r="G61" s="76"/>
    </row>
    <row r="62" spans="1:7" ht="18" customHeight="1" x14ac:dyDescent="0.3">
      <c r="A62" s="77">
        <v>22</v>
      </c>
      <c r="B62" s="78" t="s">
        <v>64</v>
      </c>
      <c r="C62" s="79">
        <v>-0.25290000000000001</v>
      </c>
      <c r="D62" s="80">
        <v>0.56000000000000005</v>
      </c>
      <c r="E62" s="81">
        <v>5628</v>
      </c>
      <c r="F62" s="82">
        <v>1</v>
      </c>
      <c r="G62" s="83"/>
    </row>
    <row r="63" spans="1:7" ht="18" customHeight="1" x14ac:dyDescent="0.3">
      <c r="A63" s="70">
        <v>23</v>
      </c>
      <c r="B63" s="71" t="s">
        <v>83</v>
      </c>
      <c r="C63" s="72">
        <v>-8.5800000000000001E-2</v>
      </c>
      <c r="D63" s="73">
        <v>0.19</v>
      </c>
      <c r="E63" s="74">
        <v>1909</v>
      </c>
      <c r="F63" s="75">
        <v>1</v>
      </c>
      <c r="G63" s="76"/>
    </row>
    <row r="64" spans="1:7" x14ac:dyDescent="0.3">
      <c r="A64" s="108" t="s">
        <v>185</v>
      </c>
      <c r="B64" s="88"/>
      <c r="C64" s="88"/>
      <c r="D64" s="84">
        <f>SUM(D41:D63)</f>
        <v>100.00000000000001</v>
      </c>
      <c r="E64" s="69">
        <f>SUM(E41:E63)</f>
        <v>999999</v>
      </c>
      <c r="F64" s="16"/>
      <c r="G64" s="16"/>
    </row>
    <row r="67" spans="1:7" ht="79.95" customHeight="1" x14ac:dyDescent="0.3">
      <c r="A67" s="109" t="s">
        <v>186</v>
      </c>
      <c r="B67" s="88"/>
      <c r="C67" s="88"/>
      <c r="D67" s="88"/>
      <c r="E67" s="88"/>
      <c r="F67" s="88"/>
      <c r="G67" s="88"/>
    </row>
    <row r="68" spans="1:7" x14ac:dyDescent="0.3">
      <c r="A68" s="88"/>
      <c r="B68" s="88"/>
      <c r="C68" s="88"/>
      <c r="D68" s="88"/>
      <c r="E68" s="88"/>
      <c r="F68" s="88"/>
      <c r="G68" s="88"/>
    </row>
    <row r="69" spans="1:7" x14ac:dyDescent="0.3">
      <c r="A69" s="88"/>
      <c r="B69" s="88"/>
      <c r="C69" s="88"/>
      <c r="D69" s="88"/>
      <c r="E69" s="88"/>
      <c r="F69" s="88"/>
      <c r="G69" s="88"/>
    </row>
    <row r="70" spans="1:7" x14ac:dyDescent="0.3">
      <c r="A70" s="88"/>
      <c r="B70" s="88"/>
      <c r="C70" s="88"/>
      <c r="D70" s="88"/>
      <c r="E70" s="88"/>
      <c r="F70" s="88"/>
      <c r="G70" s="88"/>
    </row>
    <row r="71" spans="1:7" x14ac:dyDescent="0.3">
      <c r="A71" s="88"/>
      <c r="B71" s="88"/>
      <c r="C71" s="88"/>
      <c r="D71" s="88"/>
      <c r="E71" s="88"/>
      <c r="F71" s="88"/>
      <c r="G71" s="88"/>
    </row>
  </sheetData>
  <mergeCells count="16">
    <mergeCell ref="B6:C6"/>
    <mergeCell ref="A36:C36"/>
    <mergeCell ref="A1:G1"/>
    <mergeCell ref="A67:G71"/>
    <mergeCell ref="B7:C7"/>
    <mergeCell ref="B5:C5"/>
    <mergeCell ref="D6:G6"/>
    <mergeCell ref="D8:G8"/>
    <mergeCell ref="A39:G39"/>
    <mergeCell ref="A4:G4"/>
    <mergeCell ref="D7:G7"/>
    <mergeCell ref="A2:G2"/>
    <mergeCell ref="D5:G5"/>
    <mergeCell ref="B8:C8"/>
    <mergeCell ref="A10:G10"/>
    <mergeCell ref="A64:C6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1 - Résumé FSDAA</vt:lpstr>
      <vt:lpstr>2 - Composition Buckets</vt:lpstr>
      <vt:lpstr>3 - Poids Globaux</vt:lpstr>
      <vt:lpstr>4 - Top Actifs</vt:lpstr>
      <vt:lpstr>5 - Heatmap Actif×Facteur</vt:lpstr>
      <vt:lpstr>6 - Portefeuille Long-Only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Dylane NDOUDY-BAMOUENIZO</cp:lastModifiedBy>
  <dcterms:created xsi:type="dcterms:W3CDTF">2026-05-13T16:41:26Z</dcterms:created>
  <dcterms:modified xsi:type="dcterms:W3CDTF">2026-05-15T14:08:12Z</dcterms:modified>
</cp:coreProperties>
</file>